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t1047\Desktop\"/>
    </mc:Choice>
  </mc:AlternateContent>
  <xr:revisionPtr revIDLastSave="0" documentId="13_ncr:1_{7B3DE91B-EA1F-4280-A593-F5EC64FC7237}" xr6:coauthVersionLast="47" xr6:coauthVersionMax="47" xr10:uidLastSave="{00000000-0000-0000-0000-000000000000}"/>
  <bookViews>
    <workbookView xWindow="-120" yWindow="-120" windowWidth="29040" windowHeight="17520" activeTab="3" xr2:uid="{00000000-000D-0000-FFFF-FFFF00000000}"/>
  </bookViews>
  <sheets>
    <sheet name="Incidents" sheetId="1" r:id="rId1"/>
    <sheet name="Entrées" sheetId="5" r:id="rId2"/>
    <sheet name="Sorties" sheetId="6" r:id="rId3"/>
    <sheet name="AS3" sheetId="8" r:id="rId4"/>
  </sheets>
  <functionGroups builtInGroupCount="19"/>
  <definedNames>
    <definedName name="_xlnm._FilterDatabase" localSheetId="1" hidden="1">Entrées!$A$1:$D$143</definedName>
    <definedName name="_xlnm._FilterDatabase" localSheetId="0" hidden="1">Incidents!$A$4:$J$32</definedName>
  </definedNames>
  <calcPr calcId="191029" concurrentManualCount="1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2" i="1" l="1"/>
  <c r="J40" i="1"/>
  <c r="J39" i="1"/>
  <c r="J38" i="1"/>
  <c r="J37" i="1"/>
  <c r="J36" i="1"/>
  <c r="J35" i="1"/>
  <c r="J34" i="1"/>
  <c r="J33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5" i="1"/>
  <c r="C119" i="6"/>
  <c r="C120" i="6"/>
  <c r="C121" i="6"/>
  <c r="C122" i="6"/>
  <c r="C123" i="6"/>
  <c r="C175" i="5"/>
  <c r="C176" i="5"/>
  <c r="C118" i="6"/>
  <c r="C117" i="6"/>
  <c r="C173" i="5"/>
  <c r="C174" i="5"/>
  <c r="C116" i="6"/>
  <c r="C114" i="6"/>
  <c r="C115" i="6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12" i="6"/>
  <c r="C113" i="6"/>
  <c r="C111" i="6"/>
  <c r="C110" i="6"/>
  <c r="C109" i="6"/>
  <c r="C108" i="6"/>
  <c r="C107" i="6"/>
  <c r="C104" i="6"/>
  <c r="C105" i="6"/>
  <c r="C106" i="6"/>
  <c r="C103" i="6"/>
  <c r="C102" i="6"/>
  <c r="C99" i="6"/>
  <c r="C100" i="6"/>
  <c r="C101" i="6"/>
  <c r="C98" i="6"/>
  <c r="C97" i="6" l="1"/>
  <c r="C95" i="6"/>
  <c r="C96" i="6"/>
  <c r="C84" i="6"/>
  <c r="C85" i="6"/>
  <c r="C86" i="6"/>
  <c r="C87" i="6"/>
  <c r="C88" i="6"/>
  <c r="C89" i="6"/>
  <c r="C90" i="6"/>
  <c r="C91" i="6"/>
  <c r="C92" i="6"/>
  <c r="C93" i="6"/>
  <c r="C94" i="6"/>
  <c r="C83" i="6"/>
  <c r="C82" i="6"/>
  <c r="C80" i="6"/>
  <c r="C81" i="6"/>
  <c r="C78" i="6"/>
  <c r="C79" i="6"/>
  <c r="C77" i="6"/>
  <c r="C75" i="6"/>
  <c r="C76" i="6"/>
  <c r="C73" i="6" l="1"/>
  <c r="C74" i="6"/>
  <c r="C116" i="5"/>
  <c r="C115" i="5"/>
  <c r="C114" i="5"/>
  <c r="C113" i="5"/>
  <c r="C111" i="5"/>
  <c r="C112" i="5"/>
  <c r="C72" i="6"/>
  <c r="C110" i="5"/>
  <c r="C71" i="6"/>
  <c r="C109" i="5"/>
  <c r="C70" i="6"/>
  <c r="C68" i="6"/>
  <c r="C69" i="6"/>
  <c r="C108" i="5"/>
  <c r="C67" i="6"/>
  <c r="C107" i="5"/>
  <c r="C65" i="6"/>
  <c r="C66" i="6"/>
  <c r="C106" i="5"/>
  <c r="C105" i="5"/>
  <c r="C104" i="5"/>
  <c r="C103" i="5"/>
  <c r="C63" i="6"/>
  <c r="C64" i="6"/>
  <c r="C101" i="5"/>
  <c r="C102" i="5"/>
  <c r="C100" i="5"/>
  <c r="C98" i="5"/>
  <c r="C99" i="5"/>
  <c r="C62" i="6"/>
  <c r="C97" i="5"/>
  <c r="C96" i="5"/>
  <c r="C95" i="5"/>
  <c r="C94" i="5"/>
  <c r="C60" i="6"/>
  <c r="C61" i="6"/>
  <c r="C59" i="6"/>
  <c r="C93" i="5"/>
  <c r="C58" i="6"/>
  <c r="C91" i="5"/>
  <c r="C92" i="5"/>
  <c r="C57" i="6"/>
  <c r="C56" i="6"/>
  <c r="C89" i="5"/>
  <c r="C90" i="5"/>
  <c r="C88" i="5"/>
  <c r="C87" i="5" l="1"/>
  <c r="C86" i="5"/>
  <c r="C55" i="6"/>
  <c r="C85" i="5"/>
  <c r="C53" i="6"/>
  <c r="C54" i="6"/>
  <c r="C81" i="5"/>
  <c r="C82" i="5"/>
  <c r="C83" i="5"/>
  <c r="C84" i="5"/>
  <c r="C80" i="5"/>
  <c r="C52" i="6"/>
  <c r="C51" i="6"/>
  <c r="C79" i="5"/>
  <c r="C50" i="6"/>
  <c r="C77" i="5"/>
  <c r="C78" i="5"/>
  <c r="C76" i="5" l="1"/>
  <c r="C49" i="6"/>
  <c r="C75" i="5"/>
  <c r="C48" i="6"/>
  <c r="C47" i="6" l="1"/>
  <c r="C74" i="5"/>
  <c r="C46" i="6"/>
  <c r="C73" i="5"/>
  <c r="C45" i="6"/>
  <c r="C72" i="5"/>
  <c r="C44" i="6"/>
  <c r="C43" i="6"/>
  <c r="C42" i="6"/>
  <c r="C38" i="6"/>
  <c r="C39" i="6"/>
  <c r="C40" i="6"/>
  <c r="C41" i="6"/>
  <c r="C71" i="5"/>
  <c r="C70" i="5"/>
  <c r="C67" i="5"/>
  <c r="C68" i="5"/>
  <c r="C69" i="5"/>
  <c r="C65" i="5"/>
  <c r="C66" i="5"/>
  <c r="C37" i="6" l="1"/>
  <c r="C64" i="5"/>
  <c r="C34" i="6"/>
  <c r="C35" i="6"/>
  <c r="C36" i="6"/>
  <c r="C33" i="6"/>
  <c r="C32" i="6"/>
  <c r="C31" i="6"/>
  <c r="C59" i="5"/>
  <c r="C60" i="5"/>
  <c r="C61" i="5"/>
  <c r="C62" i="5"/>
  <c r="C63" i="5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56" i="5" l="1"/>
  <c r="C57" i="5"/>
  <c r="C58" i="5"/>
  <c r="C55" i="5" l="1"/>
  <c r="C54" i="5"/>
  <c r="C53" i="5"/>
  <c r="C50" i="5"/>
  <c r="C49" i="5"/>
  <c r="C48" i="5"/>
  <c r="C47" i="5"/>
  <c r="C46" i="5"/>
  <c r="C45" i="5"/>
  <c r="C44" i="5"/>
  <c r="C41" i="5"/>
  <c r="C40" i="5"/>
  <c r="C39" i="5"/>
  <c r="C38" i="5"/>
  <c r="C37" i="5"/>
  <c r="C36" i="5"/>
  <c r="C35" i="5"/>
  <c r="C34" i="5"/>
  <c r="C33" i="5"/>
  <c r="C31" i="5"/>
  <c r="C32" i="5"/>
  <c r="C30" i="5"/>
  <c r="C12" i="6" l="1"/>
  <c r="C4" i="6"/>
  <c r="C28" i="5"/>
  <c r="C29" i="5"/>
  <c r="C3" i="6"/>
  <c r="C2" i="6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3" i="5"/>
  <c r="C4" i="5"/>
  <c r="C5" i="5"/>
  <c r="C6" i="5"/>
  <c r="C2" i="5" l="1"/>
</calcChain>
</file>

<file path=xl/sharedStrings.xml><?xml version="1.0" encoding="utf-8"?>
<sst xmlns="http://schemas.openxmlformats.org/spreadsheetml/2006/main" count="674" uniqueCount="180">
  <si>
    <t>AS3</t>
  </si>
  <si>
    <t>Incidents  Imprimante</t>
  </si>
  <si>
    <t>Site</t>
  </si>
  <si>
    <t>N° Ticket CBI</t>
  </si>
  <si>
    <t>N° de Série Imprimante</t>
  </si>
  <si>
    <t>Model Imprimante</t>
  </si>
  <si>
    <t>Date D'intervention CBI</t>
  </si>
  <si>
    <t xml:space="preserve">Duree de traitement ticket </t>
  </si>
  <si>
    <t>PRAS3002</t>
  </si>
  <si>
    <t>PRAS3010</t>
  </si>
  <si>
    <t>HP Color LaserJet MFP E78323</t>
  </si>
  <si>
    <t>CNB1PD11BB</t>
  </si>
  <si>
    <t>PRAS3013</t>
  </si>
  <si>
    <t>CNB1Q5S1T7</t>
  </si>
  <si>
    <t>PRAS3007</t>
  </si>
  <si>
    <t>Nom Article</t>
  </si>
  <si>
    <t>HP Color E77830dn-BLACK_BOK</t>
  </si>
  <si>
    <t>HP Color E77830dn-CYAN_BOK</t>
  </si>
  <si>
    <t>HP Color E77830dn-MAGENTA_BOK</t>
  </si>
  <si>
    <t>HP Color E77830dn-YELLOW_BOK</t>
  </si>
  <si>
    <t>HP Color LaserJet Managed E57540dn-BLACK_BOK</t>
  </si>
  <si>
    <t>IT0027</t>
  </si>
  <si>
    <t>HP Color LaserJet Managed E57540dn-CYAN_BOK</t>
  </si>
  <si>
    <t>HP Color LaserJet Managed E57540dn-MAGENTA_BOK</t>
  </si>
  <si>
    <t>IT0029</t>
  </si>
  <si>
    <t>HP Color LaserJet Managed E57540dn-YELLOW_BOK</t>
  </si>
  <si>
    <t>IT0030</t>
  </si>
  <si>
    <t>HP color Laserjet MFP E77822-BLACK_AS1</t>
  </si>
  <si>
    <t>IT0001</t>
  </si>
  <si>
    <t>HP LaserJet Pro MFP M428fdn_BOK</t>
  </si>
  <si>
    <t>IT0035</t>
  </si>
  <si>
    <t>TOSHIBA e-STUDIO 287cs-BLACK-BOK</t>
  </si>
  <si>
    <t>TOSHIBA e-STUDIO 287cs-CYAN-BOK</t>
  </si>
  <si>
    <t>TOSHIBA e-STUDIO 287cs-MAGENTA-BOK</t>
  </si>
  <si>
    <t>TOSHIBA e-STUDIO 287cs-YELLOW-BOK</t>
  </si>
  <si>
    <t>TOSHIBA e-STUDIO 407cs-BLACK-BOK</t>
  </si>
  <si>
    <t>IT0036</t>
  </si>
  <si>
    <t>TOSHIBA e-STUDIO 407cs-CYAN-BOK</t>
  </si>
  <si>
    <t>TOSHIBA e-STUDIO 407cs-MAGENTA-BOK</t>
  </si>
  <si>
    <t>TOSHIBA e-STUDIO 407cs-YELLOW-BOK</t>
  </si>
  <si>
    <t>TOSHIBA e-STUDIO2505AC-BLACK-BOK</t>
  </si>
  <si>
    <t>TOSHIBA e-STUDIO2505AC-CYAN-BOK</t>
  </si>
  <si>
    <t>TOSHIBA e-STUDIO2505AC-MAGENTA-BOK</t>
  </si>
  <si>
    <t>TOSHIBA e-STUDIO2505AC-YELLOW-BOK</t>
  </si>
  <si>
    <t>TOSHIBA e-STUDIO2515AC-BLACK-BOK</t>
  </si>
  <si>
    <t>TOSHIBA e-STUDIO2515AC-CYAN-BOK</t>
  </si>
  <si>
    <t>TOSHIBA e-STUDIO2515AC-MAGENTA-BOK</t>
  </si>
  <si>
    <t>TOSHIBA e-STUDIO2515AC-YELLOW-BOK</t>
  </si>
  <si>
    <t>HP Color LaserJet Managed E78330dn-BLACK_BOK</t>
  </si>
  <si>
    <t>IT0066</t>
  </si>
  <si>
    <t>HP Color LaserJet Managed E78330dn-CYAN_BOK</t>
  </si>
  <si>
    <t>HP Color LaserJet Managed E78330dn-MAGENTA_BOK</t>
  </si>
  <si>
    <t>HP Color LaserJet Managed E78330dn-YELLOW_BOK</t>
  </si>
  <si>
    <t>HP Color LaserJet Managed E78323dn-BLACK_AS1</t>
  </si>
  <si>
    <t>IT0070</t>
  </si>
  <si>
    <t>09/02/2023</t>
  </si>
  <si>
    <t>10/02/2023</t>
  </si>
  <si>
    <t>11/02/2023</t>
  </si>
  <si>
    <t>13/02/2023</t>
  </si>
  <si>
    <t>Date d'entrée</t>
  </si>
  <si>
    <t>Article</t>
  </si>
  <si>
    <t>Code Artice</t>
  </si>
  <si>
    <t>Quantité</t>
  </si>
  <si>
    <t>Date de sortie</t>
  </si>
  <si>
    <t>02/03/2023</t>
  </si>
  <si>
    <t>09-03-2023</t>
  </si>
  <si>
    <t>26-04-2022</t>
  </si>
  <si>
    <t>HP Color LaserJet Managed E57540dn-MAGENTA_SEB</t>
  </si>
  <si>
    <t>HP Color LaserJet Managed E78330dn-BLACK_SEB</t>
  </si>
  <si>
    <t>Mauvaise qualité d’impression</t>
  </si>
  <si>
    <t>OpenSpace</t>
  </si>
  <si>
    <t>CAS-645913-L5V3R2</t>
  </si>
  <si>
    <t xml:space="preserve"> 	CFIG49007 </t>
  </si>
  <si>
    <t>CAS-677624-P8S4B2</t>
  </si>
  <si>
    <t>Tâches d'impression</t>
  </si>
  <si>
    <t xml:space="preserve">CNBK66419  </t>
  </si>
  <si>
    <t>Date Reclamation</t>
  </si>
  <si>
    <t>TOSHIBA e-STUDIO2515AC-Black-MAG</t>
  </si>
  <si>
    <t>TOSHIBA e-STUDIO2515AC-YELLOW-MAG</t>
  </si>
  <si>
    <t>TOSHIBA e-STUDIO2515AC-CYAN-MAG</t>
  </si>
  <si>
    <t>TOSHIBA e-STUDIO2515AC-MAGENTA-MAG</t>
  </si>
  <si>
    <t>E77830dn</t>
  </si>
  <si>
    <t>BLACK</t>
  </si>
  <si>
    <t>CYAN</t>
  </si>
  <si>
    <t>MAGENTA</t>
  </si>
  <si>
    <t>YELLOW</t>
  </si>
  <si>
    <t>E57540dn</t>
  </si>
  <si>
    <t>e-STUDIO2515AC</t>
  </si>
  <si>
    <t>E78330dn</t>
  </si>
  <si>
    <t xml:space="preserve">Référence </t>
  </si>
  <si>
    <t xml:space="preserve">Nombre de machine </t>
  </si>
  <si>
    <t>Couleur</t>
  </si>
  <si>
    <t xml:space="preserve">Nombre de toner </t>
  </si>
  <si>
    <t xml:space="preserve"> e-STUDIO2505AC</t>
  </si>
  <si>
    <t>CAS-706256-G5S5L8</t>
  </si>
  <si>
    <t xml:space="preserve">Probleme d'impression </t>
  </si>
  <si>
    <t xml:space="preserve">	CNLK33465 </t>
  </si>
  <si>
    <t>Bourrage de papier répétitif</t>
  </si>
  <si>
    <t>CAS-742238-B5B6H1</t>
  </si>
  <si>
    <t>CNKK30177</t>
  </si>
  <si>
    <t>E78523</t>
  </si>
  <si>
    <t>CAS-921094-G6V6G2</t>
  </si>
  <si>
    <t>CAS-903739-C8M0X3</t>
  </si>
  <si>
    <t>Mauvaise qualité d’impression (error 63.00.3B )</t>
  </si>
  <si>
    <t>CAS-905603-N4N3M2</t>
  </si>
  <si>
    <t>CZBBSD10B3</t>
  </si>
  <si>
    <t>Tâches d'impression / Bruit fort</t>
  </si>
  <si>
    <t>CAS-897726-M6J0D1</t>
  </si>
  <si>
    <t>CAS-835915-T5J8K3</t>
  </si>
  <si>
    <t>CNBBS2G05D</t>
  </si>
  <si>
    <t>Chauffage de tembour</t>
  </si>
  <si>
    <t>PRAS3016</t>
  </si>
  <si>
    <t>CAS-803537-M3D9F9 / CAS-803462-Z5R7N1</t>
  </si>
  <si>
    <t>CNKK30177 / CNLK33465</t>
  </si>
  <si>
    <t>PRAS3010 / PRAS3013</t>
  </si>
  <si>
    <t>CAS-778539-L5J1P6</t>
  </si>
  <si>
    <t>Probleme surchauffage</t>
  </si>
  <si>
    <t>CAS-786986-H8Y3Q6 CAS-788146-M6W3D3</t>
  </si>
  <si>
    <t>CAS-786640-N6G0J2</t>
  </si>
  <si>
    <t>JPBVN570PR</t>
  </si>
  <si>
    <t>Code d'erreur</t>
  </si>
  <si>
    <t>PRAS3008</t>
  </si>
  <si>
    <t>CAS-767276-R4M0K1 / CAS-767297-W9N5Y4</t>
  </si>
  <si>
    <t>CNLK33465</t>
  </si>
  <si>
    <t>CAS-937307-W7L6C8</t>
  </si>
  <si>
    <t>Probléme d'impression (Error 13.B9.C0)</t>
  </si>
  <si>
    <t>CAS-937236-R9L0G8</t>
  </si>
  <si>
    <t>CNBBS4R06M</t>
  </si>
  <si>
    <t>CAS-942452-G5D8B3</t>
  </si>
  <si>
    <t xml:space="preserve">erreur 49.4A.00 </t>
  </si>
  <si>
    <t>Open Space</t>
  </si>
  <si>
    <t>CAS-942380-C9C5C1</t>
  </si>
  <si>
    <t>CNBBS4R06M / CZBBSD10B3</t>
  </si>
  <si>
    <t>CAS-938407-F7N1F7</t>
  </si>
  <si>
    <t>Besoin consommable (Tonner)</t>
  </si>
  <si>
    <t>CAS-926694-T6Y7F7</t>
  </si>
  <si>
    <t>Besoin consommable (Unitè de recupiration)</t>
  </si>
  <si>
    <t>CAS-926699-S6B0P5</t>
  </si>
  <si>
    <t>Printer Name</t>
  </si>
  <si>
    <t>Nature du Probleme</t>
  </si>
  <si>
    <t>Type of demand</t>
  </si>
  <si>
    <t>Consommable</t>
  </si>
  <si>
    <t>Incident</t>
  </si>
  <si>
    <t>PRAS3005</t>
  </si>
  <si>
    <t>CAS-890475-Y8L5K5</t>
  </si>
  <si>
    <t>CNB1Q5S1TF</t>
  </si>
  <si>
    <t>CAS-895650-W6R7H9</t>
  </si>
  <si>
    <t>CAS-910016-H0G5M3</t>
  </si>
  <si>
    <t>CAS-945348-S6K9V6</t>
  </si>
  <si>
    <t>CZBBSDB166/CZBBSDB129</t>
  </si>
  <si>
    <t>PRAS3008 / Pras3011</t>
  </si>
  <si>
    <t>HP Color LaserJet MFP E57540</t>
  </si>
  <si>
    <t>TOSHIBA e-STUDIO3008A</t>
  </si>
  <si>
    <t>HP Color LaserJet MFP E77822</t>
  </si>
  <si>
    <t>HP Color LaserJet MFP E77830</t>
  </si>
  <si>
    <r>
      <t>TOSHIBA e-STUDIO2515AC</t>
    </r>
    <r>
      <rPr>
        <sz val="8"/>
        <color rgb="FF000000"/>
        <rFont val="Arial"/>
        <family val="2"/>
      </rPr>
      <t> </t>
    </r>
  </si>
  <si>
    <t xml:space="preserve">HP Color LaserJet MFP E77822 </t>
  </si>
  <si>
    <t xml:space="preserve">TOSHIBA e-STUDIO3008A </t>
  </si>
  <si>
    <t xml:space="preserve">TOSHIBA e-STUDIO2505AC </t>
  </si>
  <si>
    <t>CAS-971251-G9W0R9</t>
  </si>
  <si>
    <t>CAS-971255-Y4S9T7</t>
  </si>
  <si>
    <t>Besoin consommable (Unité de recupiration)</t>
  </si>
  <si>
    <t>CAS-987393-G5Z1F9</t>
  </si>
  <si>
    <t>error 63.00.3F</t>
  </si>
  <si>
    <t>CAS-1041757-L4L7J2</t>
  </si>
  <si>
    <t>Error 13.A8.D1</t>
  </si>
  <si>
    <t>CAS-1030674-V1F7L5</t>
  </si>
  <si>
    <t>CAS-1060281-W0S8T6</t>
  </si>
  <si>
    <t>Bruit fort</t>
  </si>
  <si>
    <t>CAS-1062221-Y7T1S4</t>
  </si>
  <si>
    <t>CZBBSDB166</t>
  </si>
  <si>
    <t>HP Color LaserJet MFP X58045</t>
  </si>
  <si>
    <t>PRAS3011</t>
  </si>
  <si>
    <t>CZBBSDB12G</t>
  </si>
  <si>
    <t>CAS-1062966-P2M0R9</t>
  </si>
  <si>
    <t xml:space="preserve">erreur 46.01.04 </t>
  </si>
  <si>
    <t>CAS-1063925-N3V2P2</t>
  </si>
  <si>
    <t xml:space="preserve">Mauvaise qualité d’impression </t>
  </si>
  <si>
    <t>CAS-1064158-X8W5F6</t>
  </si>
  <si>
    <t xml:space="preserve">erreur 30.03.20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</si>
</sst>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Aptos"/>
      <family val="2"/>
    </font>
    <font>
      <sz val="10.5"/>
      <color rgb="FF000000"/>
      <name val="Arial"/>
      <family val="2"/>
    </font>
    <font>
      <sz val="8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53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top"/>
    </xf>
    <xf numFmtId="0" fontId="5" fillId="4" borderId="1" xfId="0" applyFont="1" applyFill="1" applyBorder="1" applyAlignment="1">
      <alignment horizontal="center"/>
    </xf>
    <xf numFmtId="164" fontId="3" fillId="3" borderId="0" xfId="0" applyNumberFormat="1" applyFont="1" applyFill="1"/>
    <xf numFmtId="164" fontId="1" fillId="0" borderId="0" xfId="0" applyNumberFormat="1" applyFont="1"/>
    <xf numFmtId="164" fontId="4" fillId="0" borderId="1" xfId="0" applyNumberFormat="1" applyFont="1" applyBorder="1" applyAlignment="1">
      <alignment horizontal="center" vertical="center"/>
    </xf>
    <xf numFmtId="164" fontId="0" fillId="0" borderId="0" xfId="0" applyNumberFormat="1"/>
    <xf numFmtId="0" fontId="0" fillId="0" borderId="1" xfId="0" applyBorder="1"/>
    <xf numFmtId="14" fontId="0" fillId="0" borderId="1" xfId="0" applyNumberFormat="1" applyBorder="1"/>
    <xf numFmtId="14" fontId="1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5" xfId="0" applyFont="1" applyBorder="1"/>
    <xf numFmtId="0" fontId="0" fillId="0" borderId="3" xfId="0" applyBorder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4" fontId="4" fillId="0" borderId="6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7" fillId="11" borderId="1" xfId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 2" xfId="1" xr:uid="{F688FF36-6EC3-4E23-A8C6-68424BABAC8A}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J43"/>
  <sheetViews>
    <sheetView topLeftCell="E1" zoomScale="78" zoomScaleNormal="78" workbookViewId="0">
      <selection activeCell="A2" sqref="A2:J4"/>
    </sheetView>
  </sheetViews>
  <sheetFormatPr baseColWidth="10" defaultColWidth="9.140625" defaultRowHeight="15" x14ac:dyDescent="0.25"/>
  <cols>
    <col min="1" max="1" width="40.7109375" customWidth="1"/>
    <col min="2" max="3" width="45.140625" customWidth="1"/>
    <col min="4" max="4" width="52.5703125" customWidth="1"/>
    <col min="5" max="5" width="109.28515625" customWidth="1"/>
    <col min="6" max="6" width="38.140625" customWidth="1"/>
    <col min="7" max="7" width="42.140625" customWidth="1"/>
    <col min="8" max="8" width="29.5703125" customWidth="1"/>
    <col min="9" max="9" width="33" customWidth="1"/>
    <col min="10" max="10" width="44.85546875" style="19" customWidth="1"/>
  </cols>
  <sheetData>
    <row r="2" spans="1:10" ht="22.5" x14ac:dyDescent="0.3">
      <c r="A2" s="48" t="s">
        <v>1</v>
      </c>
      <c r="B2" s="48"/>
      <c r="C2" s="48"/>
      <c r="D2" s="48"/>
      <c r="E2" s="48"/>
      <c r="F2" s="48"/>
      <c r="G2" s="48"/>
      <c r="H2" s="48"/>
      <c r="I2" s="48"/>
      <c r="J2" s="16"/>
    </row>
    <row r="3" spans="1:10" ht="18.75" x14ac:dyDescent="0.3">
      <c r="A3" s="5"/>
      <c r="B3" s="6"/>
      <c r="C3" s="6"/>
      <c r="D3" s="6"/>
      <c r="E3" s="6"/>
      <c r="F3" s="5"/>
      <c r="G3" s="7"/>
      <c r="H3" s="6"/>
      <c r="I3" s="6"/>
      <c r="J3" s="17"/>
    </row>
    <row r="4" spans="1:10" s="40" customFormat="1" ht="20.25" x14ac:dyDescent="0.25">
      <c r="A4" s="8" t="s">
        <v>2</v>
      </c>
      <c r="B4" s="8" t="s">
        <v>138</v>
      </c>
      <c r="C4" s="8" t="s">
        <v>140</v>
      </c>
      <c r="D4" s="8" t="s">
        <v>3</v>
      </c>
      <c r="E4" s="8" t="s">
        <v>139</v>
      </c>
      <c r="F4" s="8" t="s">
        <v>4</v>
      </c>
      <c r="G4" s="23" t="s">
        <v>5</v>
      </c>
      <c r="H4" s="36" t="s">
        <v>76</v>
      </c>
      <c r="I4" s="24" t="s">
        <v>6</v>
      </c>
      <c r="J4" s="18" t="s">
        <v>7</v>
      </c>
    </row>
    <row r="5" spans="1:10" x14ac:dyDescent="0.25">
      <c r="A5" s="3" t="s">
        <v>0</v>
      </c>
      <c r="B5" s="3" t="s">
        <v>70</v>
      </c>
      <c r="C5" s="3" t="s">
        <v>142</v>
      </c>
      <c r="D5" s="3" t="s">
        <v>71</v>
      </c>
      <c r="E5" s="3" t="s">
        <v>69</v>
      </c>
      <c r="F5" s="3" t="s">
        <v>72</v>
      </c>
      <c r="G5" s="3" t="s">
        <v>151</v>
      </c>
      <c r="H5" s="37">
        <v>45309.625</v>
      </c>
      <c r="I5" s="37">
        <v>45309.652777777781</v>
      </c>
      <c r="J5" s="42" t="str">
        <f>IF(I5&lt;H5,"0j 0h 0min",INT(I5-H5)&amp;"j "&amp;INT((I5-H5-INT(I5-H5))*24)&amp;"h "&amp;ROUND(((I5-H5)*1440)-INT(I5-H5)*1440-INT((I5-H5-INT(I5-H5))*24)*60,0)&amp;"min")</f>
        <v>0j 0h 40min</v>
      </c>
    </row>
    <row r="6" spans="1:10" x14ac:dyDescent="0.25">
      <c r="A6" s="3" t="s">
        <v>0</v>
      </c>
      <c r="B6" s="3" t="s">
        <v>70</v>
      </c>
      <c r="C6" s="3" t="s">
        <v>142</v>
      </c>
      <c r="D6" s="3" t="s">
        <v>73</v>
      </c>
      <c r="E6" s="3" t="s">
        <v>74</v>
      </c>
      <c r="F6" s="3" t="s">
        <v>75</v>
      </c>
      <c r="G6" s="3" t="s">
        <v>151</v>
      </c>
      <c r="H6" s="37">
        <v>45401.625</v>
      </c>
      <c r="I6" s="37">
        <v>45401.713888888888</v>
      </c>
      <c r="J6" s="42" t="str">
        <f t="shared" ref="J6:J32" si="0">IF(I6&lt;H6,"0j 0h 0min",INT(I6-H6)&amp;"j "&amp;INT((I6-H6-INT(I6-H6))*24)&amp;"h "&amp;ROUND(((I6-H6)*1440)-INT(I6-H6)*1440-INT((I6-H6-INT(I6-H6))*24)*60,0)&amp;"min")</f>
        <v>0j 2h 8min</v>
      </c>
    </row>
    <row r="7" spans="1:10" x14ac:dyDescent="0.25">
      <c r="A7" s="28" t="s">
        <v>0</v>
      </c>
      <c r="B7" s="28" t="s">
        <v>9</v>
      </c>
      <c r="C7" s="3" t="s">
        <v>142</v>
      </c>
      <c r="D7" s="28" t="s">
        <v>94</v>
      </c>
      <c r="E7" s="3" t="s">
        <v>97</v>
      </c>
      <c r="F7" s="28" t="s">
        <v>96</v>
      </c>
      <c r="G7" s="3" t="s">
        <v>10</v>
      </c>
      <c r="H7" s="37">
        <v>45481</v>
      </c>
      <c r="I7" s="37">
        <v>45491</v>
      </c>
      <c r="J7" s="42" t="str">
        <f t="shared" si="0"/>
        <v>10j 0h 0min</v>
      </c>
    </row>
    <row r="8" spans="1:10" x14ac:dyDescent="0.25">
      <c r="A8" s="34" t="s">
        <v>0</v>
      </c>
      <c r="B8" s="34" t="s">
        <v>9</v>
      </c>
      <c r="C8" s="3" t="s">
        <v>142</v>
      </c>
      <c r="D8" s="34" t="s">
        <v>94</v>
      </c>
      <c r="E8" s="35" t="s">
        <v>95</v>
      </c>
      <c r="F8" s="34" t="s">
        <v>96</v>
      </c>
      <c r="G8" s="3" t="s">
        <v>10</v>
      </c>
      <c r="H8" s="37">
        <v>45485</v>
      </c>
      <c r="I8" s="37">
        <v>45485</v>
      </c>
      <c r="J8" s="42" t="str">
        <f t="shared" si="0"/>
        <v>0j 0h 0min</v>
      </c>
    </row>
    <row r="9" spans="1:10" x14ac:dyDescent="0.25">
      <c r="A9" s="34" t="s">
        <v>0</v>
      </c>
      <c r="B9" s="34" t="s">
        <v>9</v>
      </c>
      <c r="C9" s="3" t="s">
        <v>142</v>
      </c>
      <c r="D9" s="34" t="s">
        <v>98</v>
      </c>
      <c r="E9" s="3" t="s">
        <v>74</v>
      </c>
      <c r="F9" s="34" t="s">
        <v>99</v>
      </c>
      <c r="G9" s="2" t="s">
        <v>10</v>
      </c>
      <c r="H9" s="37">
        <v>45573</v>
      </c>
      <c r="I9" s="37">
        <v>45575</v>
      </c>
      <c r="J9" s="42" t="str">
        <f t="shared" si="0"/>
        <v>2j 0h 0min</v>
      </c>
    </row>
    <row r="10" spans="1:10" x14ac:dyDescent="0.25">
      <c r="A10" s="34" t="s">
        <v>0</v>
      </c>
      <c r="B10" s="34" t="s">
        <v>12</v>
      </c>
      <c r="C10" s="3" t="s">
        <v>142</v>
      </c>
      <c r="D10" s="34" t="s">
        <v>122</v>
      </c>
      <c r="E10" s="3" t="s">
        <v>120</v>
      </c>
      <c r="F10" s="34" t="s">
        <v>123</v>
      </c>
      <c r="G10" s="2" t="s">
        <v>151</v>
      </c>
      <c r="H10" s="37">
        <v>45625.409722222219</v>
      </c>
      <c r="I10" s="37">
        <v>45629</v>
      </c>
      <c r="J10" s="42" t="str">
        <f t="shared" si="0"/>
        <v>3j 14h 10min</v>
      </c>
    </row>
    <row r="11" spans="1:10" x14ac:dyDescent="0.25">
      <c r="A11" s="34" t="s">
        <v>0</v>
      </c>
      <c r="B11" s="34" t="s">
        <v>14</v>
      </c>
      <c r="C11" s="3" t="s">
        <v>142</v>
      </c>
      <c r="D11" s="34" t="s">
        <v>115</v>
      </c>
      <c r="E11" s="3" t="s">
        <v>116</v>
      </c>
      <c r="F11" s="34" t="s">
        <v>13</v>
      </c>
      <c r="G11" s="2" t="s">
        <v>152</v>
      </c>
      <c r="H11" s="37">
        <v>45650.679861111108</v>
      </c>
      <c r="I11" s="37">
        <v>45688.487500000003</v>
      </c>
      <c r="J11" s="42" t="str">
        <f t="shared" si="0"/>
        <v>37j 19h 23min</v>
      </c>
    </row>
    <row r="12" spans="1:10" x14ac:dyDescent="0.25">
      <c r="A12" s="34" t="s">
        <v>0</v>
      </c>
      <c r="B12" s="34" t="s">
        <v>121</v>
      </c>
      <c r="C12" s="3" t="s">
        <v>142</v>
      </c>
      <c r="D12" s="34" t="s">
        <v>118</v>
      </c>
      <c r="E12" s="3" t="s">
        <v>120</v>
      </c>
      <c r="F12" s="34" t="s">
        <v>119</v>
      </c>
      <c r="G12" s="2" t="s">
        <v>153</v>
      </c>
      <c r="H12" s="37">
        <v>45673.487500000003</v>
      </c>
      <c r="I12" s="37">
        <v>45674.618055555555</v>
      </c>
      <c r="J12" s="42" t="str">
        <f t="shared" si="0"/>
        <v>1j 3h 8min</v>
      </c>
    </row>
    <row r="13" spans="1:10" x14ac:dyDescent="0.25">
      <c r="A13" s="34" t="s">
        <v>0</v>
      </c>
      <c r="B13" s="34" t="s">
        <v>114</v>
      </c>
      <c r="C13" s="3" t="s">
        <v>142</v>
      </c>
      <c r="D13" s="34" t="s">
        <v>117</v>
      </c>
      <c r="E13" s="3" t="s">
        <v>116</v>
      </c>
      <c r="F13" s="34" t="s">
        <v>113</v>
      </c>
      <c r="G13" s="2" t="s">
        <v>151</v>
      </c>
      <c r="H13" s="37">
        <v>45674.365972222222</v>
      </c>
      <c r="I13" s="37">
        <v>45677.655555555553</v>
      </c>
      <c r="J13" s="42" t="str">
        <f t="shared" si="0"/>
        <v>3j 6h 57min</v>
      </c>
    </row>
    <row r="14" spans="1:10" x14ac:dyDescent="0.25">
      <c r="A14" s="34" t="s">
        <v>0</v>
      </c>
      <c r="B14" s="34" t="s">
        <v>114</v>
      </c>
      <c r="C14" s="3" t="s">
        <v>142</v>
      </c>
      <c r="D14" s="34" t="s">
        <v>112</v>
      </c>
      <c r="E14" s="3" t="s">
        <v>74</v>
      </c>
      <c r="F14" s="34" t="s">
        <v>113</v>
      </c>
      <c r="G14" s="2" t="s">
        <v>10</v>
      </c>
      <c r="H14" s="37">
        <v>45715.680555555555</v>
      </c>
      <c r="I14" s="37">
        <v>45722.666666666664</v>
      </c>
      <c r="J14" s="42" t="str">
        <f t="shared" si="0"/>
        <v>6j 23h 40min</v>
      </c>
    </row>
    <row r="15" spans="1:10" x14ac:dyDescent="0.25">
      <c r="A15" s="34" t="s">
        <v>0</v>
      </c>
      <c r="B15" s="34" t="s">
        <v>111</v>
      </c>
      <c r="C15" s="3" t="s">
        <v>142</v>
      </c>
      <c r="D15" s="34" t="s">
        <v>108</v>
      </c>
      <c r="E15" s="3" t="s">
        <v>110</v>
      </c>
      <c r="F15" s="34" t="s">
        <v>109</v>
      </c>
      <c r="G15" s="43" t="s">
        <v>154</v>
      </c>
      <c r="H15" s="37">
        <v>45806.385416666664</v>
      </c>
      <c r="I15" s="37">
        <v>45826.517361111109</v>
      </c>
      <c r="J15" s="42" t="str">
        <f t="shared" si="0"/>
        <v>20j 3h 10min</v>
      </c>
    </row>
    <row r="16" spans="1:10" x14ac:dyDescent="0.25">
      <c r="A16" s="34" t="s">
        <v>0</v>
      </c>
      <c r="B16" s="34" t="s">
        <v>143</v>
      </c>
      <c r="C16" s="28" t="s">
        <v>141</v>
      </c>
      <c r="D16" s="41" t="s">
        <v>144</v>
      </c>
      <c r="E16" s="3" t="s">
        <v>134</v>
      </c>
      <c r="F16" s="34" t="s">
        <v>145</v>
      </c>
      <c r="G16" s="3" t="s">
        <v>155</v>
      </c>
      <c r="H16" s="37">
        <v>45881.649305555555</v>
      </c>
      <c r="I16" s="37">
        <v>45882.666666666664</v>
      </c>
      <c r="J16" s="42" t="str">
        <f t="shared" si="0"/>
        <v>1j 0h 25min</v>
      </c>
    </row>
    <row r="17" spans="1:10" x14ac:dyDescent="0.25">
      <c r="A17" s="34" t="s">
        <v>0</v>
      </c>
      <c r="B17" s="34" t="s">
        <v>9</v>
      </c>
      <c r="C17" s="28" t="s">
        <v>141</v>
      </c>
      <c r="D17" s="39" t="s">
        <v>146</v>
      </c>
      <c r="E17" s="3" t="s">
        <v>134</v>
      </c>
      <c r="F17" s="34" t="s">
        <v>105</v>
      </c>
      <c r="G17" s="2" t="s">
        <v>151</v>
      </c>
      <c r="H17" s="37">
        <v>45891.490972222222</v>
      </c>
      <c r="I17" s="37">
        <v>45895.479166666664</v>
      </c>
      <c r="J17" s="42" t="str">
        <f t="shared" si="0"/>
        <v>3j 23h 43min</v>
      </c>
    </row>
    <row r="18" spans="1:10" x14ac:dyDescent="0.25">
      <c r="A18" s="34" t="s">
        <v>0</v>
      </c>
      <c r="B18" s="34" t="s">
        <v>14</v>
      </c>
      <c r="C18" s="3" t="s">
        <v>142</v>
      </c>
      <c r="D18" s="28" t="s">
        <v>107</v>
      </c>
      <c r="E18" s="3" t="s">
        <v>106</v>
      </c>
      <c r="F18" s="34" t="s">
        <v>11</v>
      </c>
      <c r="G18" s="2" t="s">
        <v>151</v>
      </c>
      <c r="H18" s="37">
        <v>45895.491666666669</v>
      </c>
      <c r="I18" s="37">
        <v>45903.561111111114</v>
      </c>
      <c r="J18" s="42" t="str">
        <f t="shared" si="0"/>
        <v>8j 1h 40min</v>
      </c>
    </row>
    <row r="19" spans="1:10" x14ac:dyDescent="0.25">
      <c r="A19" s="34" t="s">
        <v>0</v>
      </c>
      <c r="B19" s="34" t="s">
        <v>14</v>
      </c>
      <c r="C19" s="3" t="s">
        <v>142</v>
      </c>
      <c r="D19" s="39" t="s">
        <v>102</v>
      </c>
      <c r="E19" s="3" t="s">
        <v>103</v>
      </c>
      <c r="F19" s="34" t="s">
        <v>13</v>
      </c>
      <c r="G19" s="2" t="s">
        <v>151</v>
      </c>
      <c r="H19" s="37">
        <v>45904.688888888886</v>
      </c>
      <c r="I19" s="37">
        <v>45916.458333333336</v>
      </c>
      <c r="J19" s="42" t="str">
        <f t="shared" si="0"/>
        <v>11j 18h 28min</v>
      </c>
    </row>
    <row r="20" spans="1:10" x14ac:dyDescent="0.25">
      <c r="A20" s="34" t="s">
        <v>0</v>
      </c>
      <c r="B20" s="34" t="s">
        <v>9</v>
      </c>
      <c r="C20" s="3" t="s">
        <v>142</v>
      </c>
      <c r="D20" s="28" t="s">
        <v>104</v>
      </c>
      <c r="E20" s="3" t="s">
        <v>74</v>
      </c>
      <c r="F20" s="38" t="s">
        <v>105</v>
      </c>
      <c r="G20" s="2" t="s">
        <v>10</v>
      </c>
      <c r="H20" s="37">
        <v>45908.541666666664</v>
      </c>
      <c r="I20" s="37">
        <v>45915.708333333336</v>
      </c>
      <c r="J20" s="42" t="str">
        <f t="shared" si="0"/>
        <v>7j 4h 0min</v>
      </c>
    </row>
    <row r="21" spans="1:10" x14ac:dyDescent="0.25">
      <c r="A21" s="34" t="s">
        <v>0</v>
      </c>
      <c r="B21" s="34" t="s">
        <v>8</v>
      </c>
      <c r="C21" s="35" t="s">
        <v>142</v>
      </c>
      <c r="D21" s="39" t="s">
        <v>102</v>
      </c>
      <c r="E21" s="3" t="s">
        <v>74</v>
      </c>
      <c r="F21" s="34" t="s">
        <v>11</v>
      </c>
      <c r="G21" s="28" t="s">
        <v>10</v>
      </c>
      <c r="H21" s="37">
        <v>45908.546527777777</v>
      </c>
      <c r="I21" s="37">
        <v>45916.666666666664</v>
      </c>
      <c r="J21" s="42" t="str">
        <f t="shared" si="0"/>
        <v>8j 2h 53min</v>
      </c>
    </row>
    <row r="22" spans="1:10" x14ac:dyDescent="0.25">
      <c r="A22" s="34" t="s">
        <v>0</v>
      </c>
      <c r="B22" s="34" t="s">
        <v>130</v>
      </c>
      <c r="C22" s="34" t="s">
        <v>141</v>
      </c>
      <c r="D22" s="39" t="s">
        <v>147</v>
      </c>
      <c r="E22" s="3" t="s">
        <v>136</v>
      </c>
      <c r="F22" s="34" t="s">
        <v>132</v>
      </c>
      <c r="G22" s="28" t="s">
        <v>156</v>
      </c>
      <c r="H22" s="37">
        <v>45915.67083333333</v>
      </c>
      <c r="I22" s="37">
        <v>45923.625</v>
      </c>
      <c r="J22" s="42" t="str">
        <f t="shared" si="0"/>
        <v>7j 22h 54min</v>
      </c>
    </row>
    <row r="23" spans="1:10" x14ac:dyDescent="0.25">
      <c r="A23" s="34" t="s">
        <v>0</v>
      </c>
      <c r="B23" s="34" t="s">
        <v>14</v>
      </c>
      <c r="C23" s="3" t="s">
        <v>142</v>
      </c>
      <c r="D23" s="39" t="s">
        <v>101</v>
      </c>
      <c r="E23" s="3" t="s">
        <v>103</v>
      </c>
      <c r="F23" s="34" t="s">
        <v>13</v>
      </c>
      <c r="G23" s="28" t="s">
        <v>151</v>
      </c>
      <c r="H23" s="37">
        <v>45932.478472222225</v>
      </c>
      <c r="I23" s="37">
        <v>45938.416666666664</v>
      </c>
      <c r="J23" s="42" t="str">
        <f t="shared" si="0"/>
        <v>5j 22h 31min</v>
      </c>
    </row>
    <row r="24" spans="1:10" x14ac:dyDescent="0.25">
      <c r="A24" s="34" t="s">
        <v>0</v>
      </c>
      <c r="B24" s="34" t="s">
        <v>130</v>
      </c>
      <c r="C24" s="28" t="s">
        <v>141</v>
      </c>
      <c r="D24" s="39" t="s">
        <v>137</v>
      </c>
      <c r="E24" s="3" t="s">
        <v>134</v>
      </c>
      <c r="F24" s="34" t="s">
        <v>132</v>
      </c>
      <c r="G24" s="28" t="s">
        <v>157</v>
      </c>
      <c r="H24" s="37">
        <v>45940.38958333333</v>
      </c>
      <c r="I24" s="37">
        <v>45946.5</v>
      </c>
      <c r="J24" s="42" t="str">
        <f t="shared" si="0"/>
        <v>6j 2h 39min</v>
      </c>
    </row>
    <row r="25" spans="1:10" x14ac:dyDescent="0.25">
      <c r="A25" s="34" t="s">
        <v>0</v>
      </c>
      <c r="B25" s="34" t="s">
        <v>130</v>
      </c>
      <c r="C25" s="34" t="s">
        <v>141</v>
      </c>
      <c r="D25" s="39" t="s">
        <v>135</v>
      </c>
      <c r="E25" s="3" t="s">
        <v>136</v>
      </c>
      <c r="F25" s="34" t="s">
        <v>132</v>
      </c>
      <c r="G25" s="28" t="s">
        <v>10</v>
      </c>
      <c r="H25" s="37">
        <v>45940.39166666667</v>
      </c>
      <c r="I25" s="37">
        <v>45946.5</v>
      </c>
      <c r="J25" s="42" t="str">
        <f t="shared" si="0"/>
        <v>6j 2h 36min</v>
      </c>
    </row>
    <row r="26" spans="1:10" x14ac:dyDescent="0.25">
      <c r="A26" s="34" t="s">
        <v>0</v>
      </c>
      <c r="B26" s="34" t="s">
        <v>9</v>
      </c>
      <c r="C26" s="35" t="s">
        <v>142</v>
      </c>
      <c r="D26" s="39" t="s">
        <v>124</v>
      </c>
      <c r="E26" s="3" t="s">
        <v>125</v>
      </c>
      <c r="F26" s="34" t="s">
        <v>105</v>
      </c>
      <c r="G26" s="44" t="s">
        <v>10</v>
      </c>
      <c r="H26" s="37">
        <v>45952.6</v>
      </c>
      <c r="I26" s="37">
        <v>45953.4375</v>
      </c>
      <c r="J26" s="42" t="str">
        <f t="shared" si="0"/>
        <v>0j 20h 6min</v>
      </c>
    </row>
    <row r="27" spans="1:10" x14ac:dyDescent="0.25">
      <c r="A27" s="34" t="s">
        <v>0</v>
      </c>
      <c r="B27" s="34" t="s">
        <v>12</v>
      </c>
      <c r="C27" s="35" t="s">
        <v>142</v>
      </c>
      <c r="D27" s="39" t="s">
        <v>126</v>
      </c>
      <c r="E27" s="3" t="s">
        <v>69</v>
      </c>
      <c r="F27" s="34" t="s">
        <v>127</v>
      </c>
      <c r="G27" s="2" t="s">
        <v>10</v>
      </c>
      <c r="H27" s="37">
        <v>45952.615277777775</v>
      </c>
      <c r="I27" s="37">
        <v>45954.513888888891</v>
      </c>
      <c r="J27" s="42" t="str">
        <f t="shared" si="0"/>
        <v>1j 21h 34min</v>
      </c>
    </row>
    <row r="28" spans="1:10" x14ac:dyDescent="0.25">
      <c r="A28" s="34" t="s">
        <v>0</v>
      </c>
      <c r="B28" s="34" t="s">
        <v>130</v>
      </c>
      <c r="C28" s="34" t="s">
        <v>141</v>
      </c>
      <c r="D28" s="39" t="s">
        <v>133</v>
      </c>
      <c r="E28" s="3" t="s">
        <v>134</v>
      </c>
      <c r="F28" s="34" t="s">
        <v>132</v>
      </c>
      <c r="G28" s="2" t="s">
        <v>10</v>
      </c>
      <c r="H28" s="37">
        <v>45953.634027777778</v>
      </c>
      <c r="I28" s="37">
        <v>45956.458333333336</v>
      </c>
      <c r="J28" s="42" t="str">
        <f t="shared" si="0"/>
        <v>2j 19h 47min</v>
      </c>
    </row>
    <row r="29" spans="1:10" x14ac:dyDescent="0.25">
      <c r="A29" s="34" t="s">
        <v>0</v>
      </c>
      <c r="B29" s="34" t="s">
        <v>130</v>
      </c>
      <c r="C29" s="34" t="s">
        <v>141</v>
      </c>
      <c r="D29" s="39" t="s">
        <v>131</v>
      </c>
      <c r="E29" s="3" t="s">
        <v>134</v>
      </c>
      <c r="F29" s="34" t="s">
        <v>132</v>
      </c>
      <c r="G29" s="2" t="s">
        <v>158</v>
      </c>
      <c r="H29" s="37">
        <v>45959.378472222219</v>
      </c>
      <c r="I29" s="37">
        <v>45961.625</v>
      </c>
      <c r="J29" s="42" t="str">
        <f t="shared" si="0"/>
        <v>2j 5h 55min</v>
      </c>
    </row>
    <row r="30" spans="1:10" x14ac:dyDescent="0.25">
      <c r="A30" s="34" t="s">
        <v>0</v>
      </c>
      <c r="B30" s="34" t="s">
        <v>12</v>
      </c>
      <c r="C30" s="35" t="s">
        <v>142</v>
      </c>
      <c r="D30" s="39" t="s">
        <v>128</v>
      </c>
      <c r="E30" s="3" t="s">
        <v>129</v>
      </c>
      <c r="F30" s="34" t="s">
        <v>127</v>
      </c>
      <c r="G30" s="3" t="s">
        <v>153</v>
      </c>
      <c r="H30" s="37">
        <v>45959.4375</v>
      </c>
      <c r="I30" s="37">
        <v>45966.451388888891</v>
      </c>
      <c r="J30" s="42" t="str">
        <f t="shared" si="0"/>
        <v>7j 0h 20min</v>
      </c>
    </row>
    <row r="31" spans="1:10" x14ac:dyDescent="0.25">
      <c r="A31" s="34" t="s">
        <v>0</v>
      </c>
      <c r="B31" s="34" t="s">
        <v>150</v>
      </c>
      <c r="C31" s="34" t="s">
        <v>141</v>
      </c>
      <c r="D31" s="39" t="s">
        <v>148</v>
      </c>
      <c r="E31" s="3" t="s">
        <v>134</v>
      </c>
      <c r="F31" s="34" t="s">
        <v>149</v>
      </c>
      <c r="G31" s="3" t="s">
        <v>10</v>
      </c>
      <c r="H31" s="37">
        <v>45965.425694444442</v>
      </c>
      <c r="I31" s="37">
        <v>45966.583333333336</v>
      </c>
      <c r="J31" s="42" t="str">
        <f t="shared" si="0"/>
        <v>1j 3h 47min</v>
      </c>
    </row>
    <row r="32" spans="1:10" ht="14.25" customHeight="1" x14ac:dyDescent="0.25">
      <c r="A32" s="34" t="s">
        <v>0</v>
      </c>
      <c r="B32" s="34" t="s">
        <v>14</v>
      </c>
      <c r="C32" s="28" t="s">
        <v>141</v>
      </c>
      <c r="D32" s="39"/>
      <c r="E32" s="3" t="s">
        <v>134</v>
      </c>
      <c r="F32" s="34" t="s">
        <v>13</v>
      </c>
      <c r="G32" s="3" t="s">
        <v>153</v>
      </c>
      <c r="H32" s="37">
        <v>45965.643750000003</v>
      </c>
      <c r="I32" s="37">
        <v>45966.583333333336</v>
      </c>
      <c r="J32" s="42" t="str">
        <f t="shared" si="0"/>
        <v>0j 22h 33min</v>
      </c>
    </row>
    <row r="33" spans="1:10" ht="14.25" customHeight="1" x14ac:dyDescent="0.25">
      <c r="A33" s="45" t="s">
        <v>0</v>
      </c>
      <c r="B33" s="45" t="s">
        <v>114</v>
      </c>
      <c r="C33" s="46" t="s">
        <v>141</v>
      </c>
      <c r="D33" s="39" t="s">
        <v>159</v>
      </c>
      <c r="E33" s="1" t="s">
        <v>134</v>
      </c>
      <c r="F33" s="45" t="s">
        <v>132</v>
      </c>
      <c r="G33" s="1" t="s">
        <v>10</v>
      </c>
      <c r="H33" s="47">
        <v>45980.719444444447</v>
      </c>
      <c r="I33" s="47">
        <v>45982.458333333336</v>
      </c>
      <c r="J33" s="42" t="str">
        <f t="shared" ref="J33:J42" si="1">IF(I33&lt;H33,"0j 0h 0min",INT(I33-H33)&amp;"j "&amp;INT((I33-H33-INT(I33-H33))*24)&amp;"h "&amp;ROUND(((I33-H33)*1440)-INT(I33-H33)*1440-INT((I33-H33-INT(I33-H33))*24)*60,0)&amp;"min")</f>
        <v>1j 17h 44min</v>
      </c>
    </row>
    <row r="34" spans="1:10" ht="14.25" customHeight="1" x14ac:dyDescent="0.25">
      <c r="A34" s="45" t="s">
        <v>0</v>
      </c>
      <c r="B34" s="45" t="s">
        <v>114</v>
      </c>
      <c r="C34" s="46" t="s">
        <v>141</v>
      </c>
      <c r="D34" s="39" t="s">
        <v>160</v>
      </c>
      <c r="E34" s="1" t="s">
        <v>161</v>
      </c>
      <c r="F34" s="45" t="s">
        <v>132</v>
      </c>
      <c r="G34" s="1" t="s">
        <v>10</v>
      </c>
      <c r="H34" s="47">
        <v>45980.715277777781</v>
      </c>
      <c r="I34" s="47">
        <v>45982.458333333336</v>
      </c>
      <c r="J34" s="42" t="str">
        <f t="shared" si="1"/>
        <v>1j 17h 50min</v>
      </c>
    </row>
    <row r="35" spans="1:10" ht="14.25" customHeight="1" x14ac:dyDescent="0.25">
      <c r="A35" s="45" t="s">
        <v>0</v>
      </c>
      <c r="B35" s="45" t="s">
        <v>14</v>
      </c>
      <c r="C35" s="46" t="s">
        <v>142</v>
      </c>
      <c r="D35" s="39" t="s">
        <v>162</v>
      </c>
      <c r="E35" s="1" t="s">
        <v>163</v>
      </c>
      <c r="F35" s="45" t="s">
        <v>13</v>
      </c>
      <c r="G35" s="1" t="s">
        <v>151</v>
      </c>
      <c r="H35" s="47">
        <v>45986.388194444444</v>
      </c>
      <c r="I35" s="47">
        <v>45987.629861111112</v>
      </c>
      <c r="J35" s="42" t="str">
        <f t="shared" si="1"/>
        <v>1j 5h 48min</v>
      </c>
    </row>
    <row r="36" spans="1:10" ht="14.25" customHeight="1" x14ac:dyDescent="0.25">
      <c r="A36" s="45" t="s">
        <v>0</v>
      </c>
      <c r="B36" s="45" t="s">
        <v>12</v>
      </c>
      <c r="C36" s="46" t="s">
        <v>142</v>
      </c>
      <c r="D36" s="39" t="s">
        <v>164</v>
      </c>
      <c r="E36" s="1" t="s">
        <v>165</v>
      </c>
      <c r="F36" s="45" t="s">
        <v>105</v>
      </c>
      <c r="G36" s="1" t="s">
        <v>10</v>
      </c>
      <c r="H36" s="47">
        <v>46008.375</v>
      </c>
      <c r="I36" s="47">
        <v>46009.458333333336</v>
      </c>
      <c r="J36" s="42" t="str">
        <f t="shared" si="1"/>
        <v>1j 2h 0min</v>
      </c>
    </row>
    <row r="37" spans="1:10" ht="14.25" customHeight="1" x14ac:dyDescent="0.25">
      <c r="A37" s="45" t="s">
        <v>0</v>
      </c>
      <c r="B37" s="45" t="s">
        <v>114</v>
      </c>
      <c r="C37" s="46" t="s">
        <v>141</v>
      </c>
      <c r="D37" s="39" t="s">
        <v>166</v>
      </c>
      <c r="E37" s="1" t="s">
        <v>161</v>
      </c>
      <c r="F37" s="45" t="s">
        <v>132</v>
      </c>
      <c r="G37" s="1" t="s">
        <v>10</v>
      </c>
      <c r="H37" s="47">
        <v>46003.381944444445</v>
      </c>
      <c r="I37" s="47">
        <v>46007.416666666664</v>
      </c>
      <c r="J37" s="42" t="str">
        <f t="shared" si="1"/>
        <v>4j 0h 50min</v>
      </c>
    </row>
    <row r="38" spans="1:10" ht="14.25" customHeight="1" x14ac:dyDescent="0.25">
      <c r="A38" s="45" t="s">
        <v>0</v>
      </c>
      <c r="B38" s="45" t="s">
        <v>114</v>
      </c>
      <c r="C38" s="46" t="s">
        <v>141</v>
      </c>
      <c r="D38" s="39" t="s">
        <v>166</v>
      </c>
      <c r="E38" s="1" t="s">
        <v>134</v>
      </c>
      <c r="F38" s="45" t="s">
        <v>132</v>
      </c>
      <c r="G38" s="1" t="s">
        <v>10</v>
      </c>
      <c r="H38" s="47">
        <v>45999.688194444447</v>
      </c>
      <c r="I38" s="47">
        <v>46007.416666666664</v>
      </c>
      <c r="J38" s="42" t="str">
        <f t="shared" si="1"/>
        <v>7j 17h 29min</v>
      </c>
    </row>
    <row r="39" spans="1:10" ht="14.25" customHeight="1" x14ac:dyDescent="0.25">
      <c r="A39" s="45" t="s">
        <v>0</v>
      </c>
      <c r="B39" s="45" t="s">
        <v>9</v>
      </c>
      <c r="C39" s="46" t="s">
        <v>142</v>
      </c>
      <c r="D39" s="39" t="s">
        <v>167</v>
      </c>
      <c r="E39" s="1" t="s">
        <v>168</v>
      </c>
      <c r="F39" s="45" t="s">
        <v>105</v>
      </c>
      <c r="G39" s="1" t="s">
        <v>10</v>
      </c>
      <c r="H39" s="47">
        <v>46029.633333333331</v>
      </c>
      <c r="I39" s="47">
        <v>46030.432638888888</v>
      </c>
      <c r="J39" s="42" t="str">
        <f t="shared" si="1"/>
        <v>0j 19h 11min</v>
      </c>
    </row>
    <row r="40" spans="1:10" ht="14.25" customHeight="1" x14ac:dyDescent="0.25">
      <c r="A40" s="45" t="s">
        <v>0</v>
      </c>
      <c r="B40" s="45" t="s">
        <v>121</v>
      </c>
      <c r="C40" s="46" t="s">
        <v>141</v>
      </c>
      <c r="D40" s="39" t="s">
        <v>169</v>
      </c>
      <c r="E40" s="1" t="s">
        <v>134</v>
      </c>
      <c r="F40" s="45" t="s">
        <v>170</v>
      </c>
      <c r="G40" s="1" t="s">
        <v>171</v>
      </c>
      <c r="H40" s="47">
        <v>46037.375694444447</v>
      </c>
      <c r="I40" s="47">
        <v>46042.472222222219</v>
      </c>
      <c r="J40" s="42" t="str">
        <f t="shared" si="1"/>
        <v>5j 2h 19min</v>
      </c>
    </row>
    <row r="41" spans="1:10" ht="14.25" customHeight="1" x14ac:dyDescent="0.25">
      <c r="A41" s="45" t="s">
        <v>0</v>
      </c>
      <c r="B41" s="45" t="s">
        <v>172</v>
      </c>
      <c r="C41" s="46" t="s">
        <v>142</v>
      </c>
      <c r="D41" s="39" t="s">
        <v>174</v>
      </c>
      <c r="E41" s="1" t="s">
        <v>175</v>
      </c>
      <c r="F41" s="45" t="s">
        <v>173</v>
      </c>
      <c r="G41" s="1" t="s">
        <v>171</v>
      </c>
      <c r="H41" s="47">
        <v>46041.469444444447</v>
      </c>
      <c r="I41" s="47"/>
      <c r="J41" s="42"/>
    </row>
    <row r="42" spans="1:10" ht="14.25" customHeight="1" x14ac:dyDescent="0.25">
      <c r="A42" s="45" t="s">
        <v>0</v>
      </c>
      <c r="B42" s="45" t="s">
        <v>14</v>
      </c>
      <c r="C42" s="46" t="s">
        <v>142</v>
      </c>
      <c r="D42" s="39" t="s">
        <v>176</v>
      </c>
      <c r="E42" s="1" t="s">
        <v>177</v>
      </c>
      <c r="F42" s="45" t="s">
        <v>13</v>
      </c>
      <c r="G42" s="1" t="s">
        <v>151</v>
      </c>
      <c r="H42" s="47">
        <v>46044.59097222222</v>
      </c>
      <c r="I42" s="47">
        <v>46049.479166666664</v>
      </c>
      <c r="J42" s="42" t="str">
        <f t="shared" si="1"/>
        <v>4j 21h 19min</v>
      </c>
    </row>
    <row r="43" spans="1:10" ht="14.25" customHeight="1" x14ac:dyDescent="0.25">
      <c r="A43" s="45" t="s">
        <v>0</v>
      </c>
      <c r="B43" s="45" t="s">
        <v>121</v>
      </c>
      <c r="C43" s="46" t="s">
        <v>142</v>
      </c>
      <c r="D43" s="39" t="s">
        <v>178</v>
      </c>
      <c r="E43" s="1" t="s">
        <v>179</v>
      </c>
      <c r="F43" s="45" t="s">
        <v>170</v>
      </c>
      <c r="G43" s="1" t="s">
        <v>171</v>
      </c>
      <c r="H43" s="47">
        <v>46045.605555555558</v>
      </c>
      <c r="I43" s="47"/>
      <c r="J43" s="42"/>
    </row>
  </sheetData>
  <autoFilter ref="A4:J32" xr:uid="{00000000-0001-0000-0000-000000000000}">
    <sortState xmlns:xlrd2="http://schemas.microsoft.com/office/spreadsheetml/2017/richdata2" ref="A5:J32">
      <sortCondition ref="H4:H32"/>
    </sortState>
  </autoFilter>
  <mergeCells count="1">
    <mergeCell ref="A2:I2"/>
  </mergeCells>
  <phoneticPr fontId="6" type="noConversion"/>
  <pageMargins left="0.7" right="0.7" top="0.75" bottom="0.75" header="0.3" footer="0.3"/>
  <pageSetup paperSize="9" orientation="portrait" r:id="rId1"/>
  <headerFooter>
    <oddFooter>&amp;L&amp;"Calibri"&amp;11&amp;K000000_x000D_&amp;1#&amp;"Arial"&amp;10&amp;K000000[Internal]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DB7E1-6973-4486-BD55-D6459447A20F}">
  <sheetPr codeName="Feuil6">
    <tabColor rgb="FF00B050"/>
  </sheetPr>
  <dimension ref="A1:D176"/>
  <sheetViews>
    <sheetView workbookViewId="0">
      <selection activeCell="D1" sqref="A1:D1"/>
    </sheetView>
  </sheetViews>
  <sheetFormatPr baseColWidth="10" defaultColWidth="11.5703125" defaultRowHeight="15" x14ac:dyDescent="0.25"/>
  <cols>
    <col min="1" max="1" width="17.42578125" customWidth="1"/>
    <col min="2" max="2" width="48.85546875" bestFit="1" customWidth="1"/>
    <col min="3" max="3" width="16.140625" customWidth="1"/>
    <col min="4" max="4" width="12.5703125" customWidth="1"/>
  </cols>
  <sheetData>
    <row r="1" spans="1:4" x14ac:dyDescent="0.25">
      <c r="A1" s="12" t="s">
        <v>59</v>
      </c>
      <c r="B1" s="13" t="s">
        <v>60</v>
      </c>
      <c r="C1" s="13" t="s">
        <v>61</v>
      </c>
      <c r="D1" s="13" t="s">
        <v>62</v>
      </c>
    </row>
    <row r="2" spans="1:4" x14ac:dyDescent="0.25">
      <c r="A2" s="3" t="s">
        <v>55</v>
      </c>
      <c r="B2" s="11" t="s">
        <v>16</v>
      </c>
      <c r="C2" s="10" t="e">
        <f>+VLOOKUP(Entrées!B2,#REF!,3,0)</f>
        <v>#REF!</v>
      </c>
      <c r="D2" s="10">
        <v>1</v>
      </c>
    </row>
    <row r="3" spans="1:4" x14ac:dyDescent="0.25">
      <c r="A3" s="3" t="s">
        <v>56</v>
      </c>
      <c r="B3" s="10" t="s">
        <v>17</v>
      </c>
      <c r="C3" s="10" t="e">
        <f>+VLOOKUP(Entrées!B3,#REF!,3,0)</f>
        <v>#REF!</v>
      </c>
      <c r="D3" s="10">
        <v>3</v>
      </c>
    </row>
    <row r="4" spans="1:4" x14ac:dyDescent="0.25">
      <c r="A4" s="3" t="s">
        <v>57</v>
      </c>
      <c r="B4" s="10" t="s">
        <v>18</v>
      </c>
      <c r="C4" s="10" t="e">
        <f>+VLOOKUP(Entrées!B4,#REF!,3,0)</f>
        <v>#REF!</v>
      </c>
      <c r="D4" s="10">
        <v>4</v>
      </c>
    </row>
    <row r="5" spans="1:4" x14ac:dyDescent="0.25">
      <c r="A5" s="3" t="s">
        <v>58</v>
      </c>
      <c r="B5" s="10" t="s">
        <v>19</v>
      </c>
      <c r="C5" s="10" t="e">
        <f>+VLOOKUP(Entrées!B5,#REF!,3,0)</f>
        <v>#REF!</v>
      </c>
      <c r="D5" s="10">
        <v>1</v>
      </c>
    </row>
    <row r="6" spans="1:4" x14ac:dyDescent="0.25">
      <c r="A6" s="3" t="s">
        <v>64</v>
      </c>
      <c r="B6" s="4" t="s">
        <v>20</v>
      </c>
      <c r="C6" s="10" t="e">
        <f>+VLOOKUP(Entrées!B6,#REF!,3,0)</f>
        <v>#REF!</v>
      </c>
      <c r="D6" s="10">
        <v>2</v>
      </c>
    </row>
    <row r="7" spans="1:4" x14ac:dyDescent="0.25">
      <c r="A7" s="3" t="s">
        <v>64</v>
      </c>
      <c r="B7" s="10" t="s">
        <v>22</v>
      </c>
      <c r="C7" s="10" t="e">
        <f>+VLOOKUP(Entrées!B7,#REF!,3,0)</f>
        <v>#REF!</v>
      </c>
      <c r="D7" s="10">
        <v>1</v>
      </c>
    </row>
    <row r="8" spans="1:4" x14ac:dyDescent="0.25">
      <c r="A8" s="3" t="s">
        <v>64</v>
      </c>
      <c r="B8" s="10" t="s">
        <v>23</v>
      </c>
      <c r="C8" s="10" t="e">
        <f>+VLOOKUP(Entrées!B8,#REF!,3,0)</f>
        <v>#REF!</v>
      </c>
      <c r="D8" s="10">
        <v>6</v>
      </c>
    </row>
    <row r="9" spans="1:4" x14ac:dyDescent="0.25">
      <c r="A9" s="3" t="s">
        <v>64</v>
      </c>
      <c r="B9" s="10" t="s">
        <v>25</v>
      </c>
      <c r="C9" s="10" t="e">
        <f>+VLOOKUP(Entrées!B9,#REF!,3,0)</f>
        <v>#REF!</v>
      </c>
      <c r="D9" s="10">
        <v>13</v>
      </c>
    </row>
    <row r="10" spans="1:4" x14ac:dyDescent="0.25">
      <c r="A10" s="3" t="s">
        <v>64</v>
      </c>
      <c r="B10" s="10" t="s">
        <v>29</v>
      </c>
      <c r="C10" s="10" t="e">
        <f>+VLOOKUP(Entrées!B10,#REF!,3,0)</f>
        <v>#REF!</v>
      </c>
      <c r="D10" s="10">
        <v>2</v>
      </c>
    </row>
    <row r="11" spans="1:4" x14ac:dyDescent="0.25">
      <c r="A11" s="3" t="s">
        <v>64</v>
      </c>
      <c r="B11" s="10" t="s">
        <v>32</v>
      </c>
      <c r="C11" s="10" t="e">
        <f>+VLOOKUP(Entrées!B11,#REF!,3,0)</f>
        <v>#REF!</v>
      </c>
      <c r="D11" s="10">
        <v>2</v>
      </c>
    </row>
    <row r="12" spans="1:4" x14ac:dyDescent="0.25">
      <c r="A12" s="3" t="s">
        <v>64</v>
      </c>
      <c r="B12" s="10" t="s">
        <v>33</v>
      </c>
      <c r="C12" s="10" t="e">
        <f>+VLOOKUP(Entrées!B12,#REF!,3,0)</f>
        <v>#REF!</v>
      </c>
      <c r="D12" s="10">
        <v>2</v>
      </c>
    </row>
    <row r="13" spans="1:4" x14ac:dyDescent="0.25">
      <c r="A13" s="3" t="s">
        <v>64</v>
      </c>
      <c r="B13" s="10" t="s">
        <v>34</v>
      </c>
      <c r="C13" s="10" t="e">
        <f>+VLOOKUP(Entrées!B13,#REF!,3,0)</f>
        <v>#REF!</v>
      </c>
      <c r="D13" s="10">
        <v>3</v>
      </c>
    </row>
    <row r="14" spans="1:4" x14ac:dyDescent="0.25">
      <c r="A14" s="3" t="s">
        <v>64</v>
      </c>
      <c r="B14" s="10" t="s">
        <v>37</v>
      </c>
      <c r="C14" s="10" t="e">
        <f>+VLOOKUP(Entrées!B14,#REF!,3,0)</f>
        <v>#REF!</v>
      </c>
      <c r="D14" s="10">
        <v>1</v>
      </c>
    </row>
    <row r="15" spans="1:4" x14ac:dyDescent="0.25">
      <c r="A15" s="3" t="s">
        <v>64</v>
      </c>
      <c r="B15" s="10" t="s">
        <v>39</v>
      </c>
      <c r="C15" s="10" t="e">
        <f>+VLOOKUP(Entrées!B15,#REF!,3,0)</f>
        <v>#REF!</v>
      </c>
      <c r="D15" s="10">
        <v>1</v>
      </c>
    </row>
    <row r="16" spans="1:4" x14ac:dyDescent="0.25">
      <c r="A16" s="3" t="s">
        <v>64</v>
      </c>
      <c r="B16" s="10" t="s">
        <v>40</v>
      </c>
      <c r="C16" s="10" t="e">
        <f>+VLOOKUP(Entrées!B16,#REF!,3,0)</f>
        <v>#REF!</v>
      </c>
      <c r="D16" s="10">
        <v>3</v>
      </c>
    </row>
    <row r="17" spans="1:4" x14ac:dyDescent="0.25">
      <c r="A17" s="3" t="s">
        <v>64</v>
      </c>
      <c r="B17" s="10" t="s">
        <v>41</v>
      </c>
      <c r="C17" s="10" t="e">
        <f>+VLOOKUP(Entrées!B17,#REF!,3,0)</f>
        <v>#REF!</v>
      </c>
      <c r="D17" s="10">
        <v>4</v>
      </c>
    </row>
    <row r="18" spans="1:4" x14ac:dyDescent="0.25">
      <c r="A18" s="3" t="s">
        <v>64</v>
      </c>
      <c r="B18" s="10" t="s">
        <v>42</v>
      </c>
      <c r="C18" s="10" t="e">
        <f>+VLOOKUP(Entrées!B18,#REF!,3,0)</f>
        <v>#REF!</v>
      </c>
      <c r="D18" s="10">
        <v>2</v>
      </c>
    </row>
    <row r="19" spans="1:4" x14ac:dyDescent="0.25">
      <c r="A19" s="3" t="s">
        <v>64</v>
      </c>
      <c r="B19" s="9" t="s">
        <v>43</v>
      </c>
      <c r="C19" s="10" t="e">
        <f>+VLOOKUP(Entrées!B19,#REF!,3,0)</f>
        <v>#REF!</v>
      </c>
      <c r="D19" s="10">
        <v>2</v>
      </c>
    </row>
    <row r="20" spans="1:4" x14ac:dyDescent="0.25">
      <c r="A20" s="3" t="s">
        <v>64</v>
      </c>
      <c r="B20" s="10" t="s">
        <v>44</v>
      </c>
      <c r="C20" s="10" t="e">
        <f>+VLOOKUP(Entrées!B20,#REF!,3,0)</f>
        <v>#REF!</v>
      </c>
      <c r="D20" s="10">
        <v>2</v>
      </c>
    </row>
    <row r="21" spans="1:4" x14ac:dyDescent="0.25">
      <c r="A21" s="3" t="s">
        <v>64</v>
      </c>
      <c r="B21" s="10" t="s">
        <v>45</v>
      </c>
      <c r="C21" s="10" t="e">
        <f>+VLOOKUP(Entrées!B21,#REF!,3,0)</f>
        <v>#REF!</v>
      </c>
      <c r="D21" s="10">
        <v>1</v>
      </c>
    </row>
    <row r="22" spans="1:4" x14ac:dyDescent="0.25">
      <c r="A22" s="3" t="s">
        <v>64</v>
      </c>
      <c r="B22" s="10" t="s">
        <v>46</v>
      </c>
      <c r="C22" s="10" t="e">
        <f>+VLOOKUP(Entrées!B22,#REF!,3,0)</f>
        <v>#REF!</v>
      </c>
      <c r="D22" s="10">
        <v>1</v>
      </c>
    </row>
    <row r="23" spans="1:4" x14ac:dyDescent="0.25">
      <c r="A23" s="3" t="s">
        <v>64</v>
      </c>
      <c r="B23" s="10" t="s">
        <v>47</v>
      </c>
      <c r="C23" s="10" t="e">
        <f>+VLOOKUP(Entrées!B23,#REF!,3,0)</f>
        <v>#REF!</v>
      </c>
      <c r="D23" s="10">
        <v>2</v>
      </c>
    </row>
    <row r="24" spans="1:4" x14ac:dyDescent="0.25">
      <c r="A24" s="3" t="s">
        <v>64</v>
      </c>
      <c r="B24" s="10" t="s">
        <v>48</v>
      </c>
      <c r="C24" s="10" t="e">
        <f>+VLOOKUP(Entrées!B24,#REF!,3,0)</f>
        <v>#REF!</v>
      </c>
      <c r="D24" s="10">
        <v>1</v>
      </c>
    </row>
    <row r="25" spans="1:4" x14ac:dyDescent="0.25">
      <c r="A25" s="3" t="s">
        <v>64</v>
      </c>
      <c r="B25" s="10" t="s">
        <v>50</v>
      </c>
      <c r="C25" s="10" t="e">
        <f>+VLOOKUP(Entrées!B25,#REF!,3,0)</f>
        <v>#REF!</v>
      </c>
      <c r="D25" s="10">
        <v>2</v>
      </c>
    </row>
    <row r="26" spans="1:4" x14ac:dyDescent="0.25">
      <c r="A26" s="3" t="s">
        <v>64</v>
      </c>
      <c r="B26" s="10" t="s">
        <v>51</v>
      </c>
      <c r="C26" s="10" t="e">
        <f>+VLOOKUP(Entrées!B26,#REF!,3,0)</f>
        <v>#REF!</v>
      </c>
      <c r="D26" s="10">
        <v>2</v>
      </c>
    </row>
    <row r="27" spans="1:4" x14ac:dyDescent="0.25">
      <c r="A27" s="3" t="s">
        <v>64</v>
      </c>
      <c r="B27" s="10" t="s">
        <v>52</v>
      </c>
      <c r="C27" s="10" t="e">
        <f>+VLOOKUP(Entrées!B27,#REF!,3,0)</f>
        <v>#REF!</v>
      </c>
      <c r="D27" s="10">
        <v>2</v>
      </c>
    </row>
    <row r="28" spans="1:4" x14ac:dyDescent="0.25">
      <c r="A28" s="3" t="s">
        <v>64</v>
      </c>
      <c r="B28" s="4" t="s">
        <v>20</v>
      </c>
      <c r="C28" s="10" t="e">
        <f>+VLOOKUP(Entrées!B28,#REF!,3,0)</f>
        <v>#REF!</v>
      </c>
      <c r="D28" s="10">
        <v>1</v>
      </c>
    </row>
    <row r="29" spans="1:4" x14ac:dyDescent="0.25">
      <c r="A29" s="3" t="s">
        <v>64</v>
      </c>
      <c r="B29" s="10" t="s">
        <v>29</v>
      </c>
      <c r="C29" s="10" t="e">
        <f>+VLOOKUP(Entrées!B29,#REF!,3,0)</f>
        <v>#REF!</v>
      </c>
      <c r="D29" s="10">
        <v>1</v>
      </c>
    </row>
    <row r="30" spans="1:4" x14ac:dyDescent="0.25">
      <c r="A30" s="3" t="s">
        <v>65</v>
      </c>
      <c r="B30" s="10" t="s">
        <v>22</v>
      </c>
      <c r="C30" s="10" t="e">
        <f>+VLOOKUP(Entrées!B30,#REF!,3,0)</f>
        <v>#REF!</v>
      </c>
      <c r="D30" s="10">
        <v>1</v>
      </c>
    </row>
    <row r="31" spans="1:4" x14ac:dyDescent="0.25">
      <c r="A31" s="3" t="s">
        <v>65</v>
      </c>
      <c r="B31" s="10" t="s">
        <v>23</v>
      </c>
      <c r="C31" s="10" t="e">
        <f>+VLOOKUP(Entrées!B31,#REF!,3,0)</f>
        <v>#REF!</v>
      </c>
      <c r="D31" s="10">
        <v>1</v>
      </c>
    </row>
    <row r="32" spans="1:4" x14ac:dyDescent="0.25">
      <c r="A32" s="3" t="s">
        <v>65</v>
      </c>
      <c r="B32" s="4" t="s">
        <v>20</v>
      </c>
      <c r="C32" s="10" t="e">
        <f>+VLOOKUP(Entrées!B32,#REF!,3,0)</f>
        <v>#REF!</v>
      </c>
      <c r="D32" s="10">
        <v>1</v>
      </c>
    </row>
    <row r="33" spans="1:4" x14ac:dyDescent="0.25">
      <c r="A33" s="3" t="s">
        <v>65</v>
      </c>
      <c r="B33" s="10" t="s">
        <v>23</v>
      </c>
      <c r="C33" s="10" t="e">
        <f>+VLOOKUP(Entrées!B33,#REF!,3,0)</f>
        <v>#REF!</v>
      </c>
      <c r="D33" s="10">
        <v>1</v>
      </c>
    </row>
    <row r="34" spans="1:4" x14ac:dyDescent="0.25">
      <c r="A34" s="3" t="s">
        <v>65</v>
      </c>
      <c r="B34" s="4" t="s">
        <v>20</v>
      </c>
      <c r="C34" s="10" t="e">
        <f>+VLOOKUP(Entrées!B34,#REF!,3,0)</f>
        <v>#REF!</v>
      </c>
      <c r="D34" s="10">
        <v>1</v>
      </c>
    </row>
    <row r="35" spans="1:4" x14ac:dyDescent="0.25">
      <c r="A35" s="3" t="s">
        <v>65</v>
      </c>
      <c r="B35" s="10" t="s">
        <v>29</v>
      </c>
      <c r="C35" s="10" t="e">
        <f>+VLOOKUP(Entrées!B35,#REF!,3,0)</f>
        <v>#REF!</v>
      </c>
      <c r="D35" s="10">
        <v>1</v>
      </c>
    </row>
    <row r="36" spans="1:4" x14ac:dyDescent="0.25">
      <c r="A36" s="3" t="s">
        <v>65</v>
      </c>
      <c r="B36" s="4" t="s">
        <v>20</v>
      </c>
      <c r="C36" s="10" t="e">
        <f>+VLOOKUP(Entrées!B36,#REF!,3,0)</f>
        <v>#REF!</v>
      </c>
      <c r="D36" s="10">
        <v>1</v>
      </c>
    </row>
    <row r="37" spans="1:4" x14ac:dyDescent="0.25">
      <c r="A37" s="3" t="s">
        <v>65</v>
      </c>
      <c r="B37" s="10" t="s">
        <v>23</v>
      </c>
      <c r="C37" s="10" t="e">
        <f>+VLOOKUP(Entrées!B37,#REF!,3,0)</f>
        <v>#REF!</v>
      </c>
      <c r="D37" s="10">
        <v>1</v>
      </c>
    </row>
    <row r="38" spans="1:4" x14ac:dyDescent="0.25">
      <c r="A38" s="3" t="s">
        <v>65</v>
      </c>
      <c r="B38" s="9" t="s">
        <v>43</v>
      </c>
      <c r="C38" s="10" t="e">
        <f>+VLOOKUP(Entrées!B38,#REF!,3,0)</f>
        <v>#REF!</v>
      </c>
      <c r="D38" s="10">
        <v>1</v>
      </c>
    </row>
    <row r="39" spans="1:4" x14ac:dyDescent="0.25">
      <c r="A39" s="3" t="s">
        <v>65</v>
      </c>
      <c r="B39" s="4" t="s">
        <v>20</v>
      </c>
      <c r="C39" s="10" t="e">
        <f>+VLOOKUP(Entrées!B39,#REF!,3,0)</f>
        <v>#REF!</v>
      </c>
      <c r="D39" s="10">
        <v>1</v>
      </c>
    </row>
    <row r="40" spans="1:4" x14ac:dyDescent="0.25">
      <c r="A40" s="3" t="s">
        <v>65</v>
      </c>
      <c r="B40" s="10" t="s">
        <v>22</v>
      </c>
      <c r="C40" s="10" t="e">
        <f>+VLOOKUP(Entrées!B40,#REF!,3,0)</f>
        <v>#REF!</v>
      </c>
      <c r="D40" s="10">
        <v>1</v>
      </c>
    </row>
    <row r="41" spans="1:4" x14ac:dyDescent="0.25">
      <c r="A41" s="3" t="s">
        <v>66</v>
      </c>
      <c r="B41" s="10" t="s">
        <v>17</v>
      </c>
      <c r="C41" s="10" t="e">
        <f>+VLOOKUP(Entrées!B41,#REF!,3,0)</f>
        <v>#REF!</v>
      </c>
      <c r="D41" s="10">
        <v>1</v>
      </c>
    </row>
    <row r="42" spans="1:4" x14ac:dyDescent="0.25">
      <c r="A42" s="22">
        <v>45051</v>
      </c>
      <c r="B42" s="10" t="s">
        <v>67</v>
      </c>
      <c r="C42" s="10" t="s">
        <v>24</v>
      </c>
      <c r="D42" s="10">
        <v>1</v>
      </c>
    </row>
    <row r="43" spans="1:4" x14ac:dyDescent="0.25">
      <c r="A43" s="22">
        <v>45051</v>
      </c>
      <c r="B43" s="10" t="s">
        <v>68</v>
      </c>
      <c r="C43" s="10" t="s">
        <v>49</v>
      </c>
      <c r="D43" s="10">
        <v>1</v>
      </c>
    </row>
    <row r="44" spans="1:4" x14ac:dyDescent="0.25">
      <c r="A44" s="22">
        <v>45054</v>
      </c>
      <c r="B44" s="10" t="s">
        <v>22</v>
      </c>
      <c r="C44" s="10" t="e">
        <f>+VLOOKUP(Entrées!B44,#REF!,3,0)</f>
        <v>#REF!</v>
      </c>
      <c r="D44" s="10">
        <v>1</v>
      </c>
    </row>
    <row r="45" spans="1:4" x14ac:dyDescent="0.25">
      <c r="A45" s="22">
        <v>45063</v>
      </c>
      <c r="B45" s="4" t="s">
        <v>20</v>
      </c>
      <c r="C45" s="10" t="e">
        <f>+VLOOKUP(Entrées!B45,#REF!,3,0)</f>
        <v>#REF!</v>
      </c>
      <c r="D45" s="10">
        <v>1</v>
      </c>
    </row>
    <row r="46" spans="1:4" x14ac:dyDescent="0.25">
      <c r="A46" s="22">
        <v>45064</v>
      </c>
      <c r="B46" s="10" t="s">
        <v>22</v>
      </c>
      <c r="C46" s="10" t="e">
        <f>+VLOOKUP(Entrées!B46,#REF!,3,0)</f>
        <v>#REF!</v>
      </c>
      <c r="D46" s="10">
        <v>2</v>
      </c>
    </row>
    <row r="47" spans="1:4" x14ac:dyDescent="0.25">
      <c r="A47" s="22">
        <v>45064</v>
      </c>
      <c r="B47" s="10" t="s">
        <v>25</v>
      </c>
      <c r="C47" s="10" t="e">
        <f>+VLOOKUP(Entrées!B47,#REF!,3,0)</f>
        <v>#REF!</v>
      </c>
      <c r="D47" s="10">
        <v>1</v>
      </c>
    </row>
    <row r="48" spans="1:4" x14ac:dyDescent="0.25">
      <c r="A48" s="22">
        <v>45082</v>
      </c>
      <c r="B48" s="10" t="s">
        <v>48</v>
      </c>
      <c r="C48" s="10" t="e">
        <f>+VLOOKUP(Entrées!B48,#REF!,3,0)</f>
        <v>#REF!</v>
      </c>
      <c r="D48" s="10">
        <v>1</v>
      </c>
    </row>
    <row r="49" spans="1:4" x14ac:dyDescent="0.25">
      <c r="A49" s="22">
        <v>45082</v>
      </c>
      <c r="B49" s="10" t="s">
        <v>52</v>
      </c>
      <c r="C49" s="10" t="e">
        <f>+VLOOKUP(Entrées!B49,#REF!,3,0)</f>
        <v>#REF!</v>
      </c>
      <c r="D49" s="10">
        <v>1</v>
      </c>
    </row>
    <row r="50" spans="1:4" x14ac:dyDescent="0.25">
      <c r="A50" s="22">
        <v>45100</v>
      </c>
      <c r="B50" s="10" t="s">
        <v>20</v>
      </c>
      <c r="C50" s="10" t="e">
        <f>+VLOOKUP(Entrées!B50,#REF!,3,0)</f>
        <v>#REF!</v>
      </c>
      <c r="D50" s="10">
        <v>1</v>
      </c>
    </row>
    <row r="51" spans="1:4" x14ac:dyDescent="0.25">
      <c r="A51" s="22">
        <v>45112</v>
      </c>
      <c r="B51" s="10" t="s">
        <v>53</v>
      </c>
      <c r="C51" s="10" t="s">
        <v>54</v>
      </c>
      <c r="D51" s="10">
        <v>1</v>
      </c>
    </row>
    <row r="52" spans="1:4" x14ac:dyDescent="0.25">
      <c r="A52" s="22">
        <v>45112</v>
      </c>
      <c r="B52" s="20" t="s">
        <v>27</v>
      </c>
      <c r="C52" s="10" t="s">
        <v>28</v>
      </c>
      <c r="D52" s="10">
        <v>1</v>
      </c>
    </row>
    <row r="53" spans="1:4" x14ac:dyDescent="0.25">
      <c r="A53" s="22">
        <v>45117</v>
      </c>
      <c r="B53" s="10" t="s">
        <v>23</v>
      </c>
      <c r="C53" s="10" t="e">
        <f>+VLOOKUP(Entrées!B53,#REF!,3,0)</f>
        <v>#REF!</v>
      </c>
      <c r="D53" s="10">
        <v>1</v>
      </c>
    </row>
    <row r="54" spans="1:4" x14ac:dyDescent="0.25">
      <c r="A54" s="22">
        <v>45121</v>
      </c>
      <c r="B54" s="10" t="s">
        <v>48</v>
      </c>
      <c r="C54" s="10" t="e">
        <f>+VLOOKUP(Entrées!B54,#REF!,3,0)</f>
        <v>#REF!</v>
      </c>
      <c r="D54" s="10">
        <v>1</v>
      </c>
    </row>
    <row r="55" spans="1:4" x14ac:dyDescent="0.25">
      <c r="A55" s="22">
        <v>45121</v>
      </c>
      <c r="B55" s="4" t="s">
        <v>20</v>
      </c>
      <c r="C55" s="10" t="e">
        <f>+VLOOKUP(Entrées!B55,#REF!,3,0)</f>
        <v>#REF!</v>
      </c>
      <c r="D55" s="10">
        <v>1</v>
      </c>
    </row>
    <row r="56" spans="1:4" x14ac:dyDescent="0.25">
      <c r="A56" s="22">
        <v>45176</v>
      </c>
      <c r="B56" s="10" t="s">
        <v>31</v>
      </c>
      <c r="C56" s="10" t="e">
        <f>+VLOOKUP(Entrées!B56,#REF!,3,0)</f>
        <v>#REF!</v>
      </c>
      <c r="D56" s="10">
        <v>2</v>
      </c>
    </row>
    <row r="57" spans="1:4" x14ac:dyDescent="0.25">
      <c r="A57" s="22">
        <v>45176</v>
      </c>
      <c r="B57" s="10" t="s">
        <v>32</v>
      </c>
      <c r="C57" s="10" t="e">
        <f>+VLOOKUP(Entrées!B57,#REF!,3,0)</f>
        <v>#REF!</v>
      </c>
      <c r="D57" s="10">
        <v>1</v>
      </c>
    </row>
    <row r="58" spans="1:4" x14ac:dyDescent="0.25">
      <c r="A58" s="22">
        <v>45176</v>
      </c>
      <c r="B58" s="10" t="s">
        <v>35</v>
      </c>
      <c r="C58" s="10" t="e">
        <f>+VLOOKUP(Entrées!B58,#REF!,3,0)</f>
        <v>#REF!</v>
      </c>
      <c r="D58" s="10">
        <v>1</v>
      </c>
    </row>
    <row r="59" spans="1:4" x14ac:dyDescent="0.25">
      <c r="A59" s="22">
        <v>45176</v>
      </c>
      <c r="B59" s="10" t="s">
        <v>38</v>
      </c>
      <c r="C59" s="10" t="e">
        <f>+VLOOKUP(Entrées!B59,#REF!,3,0)</f>
        <v>#REF!</v>
      </c>
      <c r="D59" s="10">
        <v>1</v>
      </c>
    </row>
    <row r="60" spans="1:4" x14ac:dyDescent="0.25">
      <c r="A60" s="22">
        <v>45176</v>
      </c>
      <c r="B60" s="10" t="s">
        <v>35</v>
      </c>
      <c r="C60" s="10" t="e">
        <f>+VLOOKUP(Entrées!B60,#REF!,3,0)</f>
        <v>#REF!</v>
      </c>
      <c r="D60" s="10">
        <v>2</v>
      </c>
    </row>
    <row r="61" spans="1:4" x14ac:dyDescent="0.25">
      <c r="A61" s="22">
        <v>45176</v>
      </c>
      <c r="B61" s="11" t="s">
        <v>16</v>
      </c>
      <c r="C61" s="10" t="e">
        <f>+VLOOKUP(Entrées!B61,#REF!,3,0)</f>
        <v>#REF!</v>
      </c>
      <c r="D61" s="10">
        <v>1</v>
      </c>
    </row>
    <row r="62" spans="1:4" x14ac:dyDescent="0.25">
      <c r="A62" s="22">
        <v>45176</v>
      </c>
      <c r="B62" s="10" t="s">
        <v>18</v>
      </c>
      <c r="C62" s="10" t="e">
        <f>+VLOOKUP(Entrées!B62,#REF!,3,0)</f>
        <v>#REF!</v>
      </c>
      <c r="D62" s="10">
        <v>1</v>
      </c>
    </row>
    <row r="63" spans="1:4" x14ac:dyDescent="0.25">
      <c r="A63" s="22">
        <v>45176</v>
      </c>
      <c r="B63" s="10" t="s">
        <v>19</v>
      </c>
      <c r="C63" s="10" t="e">
        <f>+VLOOKUP(Entrées!B63,#REF!,3,0)</f>
        <v>#REF!</v>
      </c>
      <c r="D63" s="10">
        <v>1</v>
      </c>
    </row>
    <row r="64" spans="1:4" x14ac:dyDescent="0.25">
      <c r="A64" s="22">
        <v>45176</v>
      </c>
      <c r="B64" s="10" t="s">
        <v>22</v>
      </c>
      <c r="C64" s="10" t="e">
        <f>+VLOOKUP(Entrées!B64,#REF!,3,0)</f>
        <v>#REF!</v>
      </c>
      <c r="D64" s="10">
        <v>1</v>
      </c>
    </row>
    <row r="65" spans="1:4" x14ac:dyDescent="0.25">
      <c r="A65" s="22">
        <v>45176</v>
      </c>
      <c r="B65" s="10" t="s">
        <v>39</v>
      </c>
      <c r="C65" s="10" t="e">
        <f>+VLOOKUP(Entrées!B65,#REF!,3,0)</f>
        <v>#REF!</v>
      </c>
      <c r="D65" s="10">
        <v>1</v>
      </c>
    </row>
    <row r="66" spans="1:4" x14ac:dyDescent="0.25">
      <c r="A66" s="22">
        <v>45177</v>
      </c>
      <c r="B66" s="10" t="s">
        <v>45</v>
      </c>
      <c r="C66" s="10" t="e">
        <f>+VLOOKUP(Entrées!B66,#REF!,3,0)</f>
        <v>#REF!</v>
      </c>
      <c r="D66" s="10">
        <v>1</v>
      </c>
    </row>
    <row r="67" spans="1:4" x14ac:dyDescent="0.25">
      <c r="A67" s="22">
        <v>45177</v>
      </c>
      <c r="B67" s="10" t="s">
        <v>23</v>
      </c>
      <c r="C67" s="10" t="e">
        <f>+VLOOKUP(Entrées!B67,#REF!,3,0)</f>
        <v>#REF!</v>
      </c>
      <c r="D67" s="10">
        <v>5</v>
      </c>
    </row>
    <row r="68" spans="1:4" x14ac:dyDescent="0.25">
      <c r="A68" s="22">
        <v>45177</v>
      </c>
      <c r="B68" s="10" t="s">
        <v>25</v>
      </c>
      <c r="C68" s="10" t="e">
        <f>+VLOOKUP(Entrées!B68,#REF!,3,0)</f>
        <v>#REF!</v>
      </c>
      <c r="D68" s="10">
        <v>4</v>
      </c>
    </row>
    <row r="69" spans="1:4" x14ac:dyDescent="0.25">
      <c r="A69" s="22">
        <v>45177</v>
      </c>
      <c r="B69" s="10" t="s">
        <v>20</v>
      </c>
      <c r="C69" s="10" t="e">
        <f>+VLOOKUP(Entrées!B69,#REF!,3,0)</f>
        <v>#REF!</v>
      </c>
      <c r="D69" s="10">
        <v>1</v>
      </c>
    </row>
    <row r="70" spans="1:4" x14ac:dyDescent="0.25">
      <c r="A70" s="22">
        <v>45181</v>
      </c>
      <c r="B70" s="10" t="s">
        <v>25</v>
      </c>
      <c r="C70" s="10" t="e">
        <f>+VLOOKUP(Entrées!B70,#REF!,3,0)</f>
        <v>#REF!</v>
      </c>
      <c r="D70" s="10">
        <v>1</v>
      </c>
    </row>
    <row r="71" spans="1:4" x14ac:dyDescent="0.25">
      <c r="A71" s="22">
        <v>45182</v>
      </c>
      <c r="B71" s="10" t="s">
        <v>20</v>
      </c>
      <c r="C71" s="10" t="e">
        <f>+VLOOKUP(Entrées!B71,#REF!,3,0)</f>
        <v>#REF!</v>
      </c>
      <c r="D71" s="10">
        <v>1</v>
      </c>
    </row>
    <row r="72" spans="1:4" x14ac:dyDescent="0.25">
      <c r="A72" s="22">
        <v>45208</v>
      </c>
      <c r="B72" s="10" t="s">
        <v>46</v>
      </c>
      <c r="C72" s="10" t="e">
        <f>+VLOOKUP(Entrées!B72,#REF!,3,0)</f>
        <v>#REF!</v>
      </c>
      <c r="D72" s="10">
        <v>1</v>
      </c>
    </row>
    <row r="73" spans="1:4" x14ac:dyDescent="0.25">
      <c r="A73" s="22">
        <v>45209</v>
      </c>
      <c r="B73" s="10" t="s">
        <v>25</v>
      </c>
      <c r="C73" s="10" t="e">
        <f>+VLOOKUP(Entrées!B73,#REF!,3,0)</f>
        <v>#REF!</v>
      </c>
      <c r="D73" s="10">
        <v>1</v>
      </c>
    </row>
    <row r="74" spans="1:4" x14ac:dyDescent="0.25">
      <c r="A74" s="22">
        <v>45211</v>
      </c>
      <c r="B74" s="4" t="s">
        <v>20</v>
      </c>
      <c r="C74" s="10" t="e">
        <f>+VLOOKUP(Entrées!B74,#REF!,3,0)</f>
        <v>#REF!</v>
      </c>
      <c r="D74" s="10">
        <v>2</v>
      </c>
    </row>
    <row r="75" spans="1:4" x14ac:dyDescent="0.25">
      <c r="A75" s="22">
        <v>45213</v>
      </c>
      <c r="B75" s="10" t="s">
        <v>22</v>
      </c>
      <c r="C75" s="10" t="e">
        <f>+VLOOKUP(Entrées!B75,#REF!,3,0)</f>
        <v>#REF!</v>
      </c>
      <c r="D75" s="10">
        <v>2</v>
      </c>
    </row>
    <row r="76" spans="1:4" x14ac:dyDescent="0.25">
      <c r="A76" s="22">
        <v>45230</v>
      </c>
      <c r="B76" s="10" t="s">
        <v>44</v>
      </c>
      <c r="C76" s="10" t="e">
        <f>+VLOOKUP(Entrées!B76,#REF!,3,0)</f>
        <v>#REF!</v>
      </c>
      <c r="D76" s="10">
        <v>1</v>
      </c>
    </row>
    <row r="77" spans="1:4" x14ac:dyDescent="0.25">
      <c r="A77" s="22">
        <v>45239</v>
      </c>
      <c r="B77" s="10" t="s">
        <v>23</v>
      </c>
      <c r="C77" s="10" t="e">
        <f>+VLOOKUP(Entrées!B77,#REF!,3,0)</f>
        <v>#REF!</v>
      </c>
      <c r="D77" s="10">
        <v>2</v>
      </c>
    </row>
    <row r="78" spans="1:4" x14ac:dyDescent="0.25">
      <c r="A78" s="22">
        <v>45239</v>
      </c>
      <c r="B78" s="10" t="s">
        <v>25</v>
      </c>
      <c r="C78" s="10" t="e">
        <f>+VLOOKUP(Entrées!B78,#REF!,3,0)</f>
        <v>#REF!</v>
      </c>
      <c r="D78" s="10">
        <v>1</v>
      </c>
    </row>
    <row r="79" spans="1:4" x14ac:dyDescent="0.25">
      <c r="A79" s="22">
        <v>45239</v>
      </c>
      <c r="B79" s="10" t="s">
        <v>22</v>
      </c>
      <c r="C79" s="10" t="e">
        <f>+VLOOKUP(Entrées!B79,#REF!,3,0)</f>
        <v>#REF!</v>
      </c>
      <c r="D79" s="10">
        <v>1</v>
      </c>
    </row>
    <row r="80" spans="1:4" x14ac:dyDescent="0.25">
      <c r="A80" s="22">
        <v>45253</v>
      </c>
      <c r="B80" s="10" t="s">
        <v>22</v>
      </c>
      <c r="C80" s="10" t="e">
        <f>+VLOOKUP(Entrées!B80,#REF!,3,0)</f>
        <v>#REF!</v>
      </c>
      <c r="D80" s="10">
        <v>1</v>
      </c>
    </row>
    <row r="81" spans="1:4" x14ac:dyDescent="0.25">
      <c r="A81" s="22">
        <v>45257</v>
      </c>
      <c r="B81" s="4" t="s">
        <v>20</v>
      </c>
      <c r="C81" s="10" t="e">
        <f>+VLOOKUP(Entrées!B81,#REF!,3,0)</f>
        <v>#REF!</v>
      </c>
      <c r="D81" s="10">
        <v>4</v>
      </c>
    </row>
    <row r="82" spans="1:4" x14ac:dyDescent="0.25">
      <c r="A82" s="22">
        <v>45257</v>
      </c>
      <c r="B82" s="10" t="s">
        <v>22</v>
      </c>
      <c r="C82" s="10" t="e">
        <f>+VLOOKUP(Entrées!B82,#REF!,3,0)</f>
        <v>#REF!</v>
      </c>
      <c r="D82" s="10">
        <v>3</v>
      </c>
    </row>
    <row r="83" spans="1:4" x14ac:dyDescent="0.25">
      <c r="A83" s="22">
        <v>45257</v>
      </c>
      <c r="B83" s="10" t="s">
        <v>23</v>
      </c>
      <c r="C83" s="10" t="e">
        <f>+VLOOKUP(Entrées!B83,#REF!,3,0)</f>
        <v>#REF!</v>
      </c>
      <c r="D83" s="10">
        <v>2</v>
      </c>
    </row>
    <row r="84" spans="1:4" x14ac:dyDescent="0.25">
      <c r="A84" s="22">
        <v>45257</v>
      </c>
      <c r="B84" s="10" t="s">
        <v>25</v>
      </c>
      <c r="C84" s="10" t="e">
        <f>+VLOOKUP(Entrées!B84,#REF!,3,0)</f>
        <v>#REF!</v>
      </c>
      <c r="D84" s="10">
        <v>1</v>
      </c>
    </row>
    <row r="85" spans="1:4" x14ac:dyDescent="0.25">
      <c r="A85" s="22">
        <v>45258</v>
      </c>
      <c r="B85" s="10" t="s">
        <v>20</v>
      </c>
      <c r="C85" s="10" t="e">
        <f>+VLOOKUP(Entrées!B85,#REF!,3,0)</f>
        <v>#REF!</v>
      </c>
      <c r="D85" s="10">
        <v>1</v>
      </c>
    </row>
    <row r="86" spans="1:4" x14ac:dyDescent="0.25">
      <c r="A86" s="22">
        <v>45258</v>
      </c>
      <c r="B86" s="10" t="s">
        <v>48</v>
      </c>
      <c r="C86" s="10" t="e">
        <f>+VLOOKUP(Entrées!B86,#REF!,3,0)</f>
        <v>#REF!</v>
      </c>
      <c r="D86" s="10">
        <v>1</v>
      </c>
    </row>
    <row r="87" spans="1:4" x14ac:dyDescent="0.25">
      <c r="A87" s="22">
        <v>45260</v>
      </c>
      <c r="B87" s="10" t="s">
        <v>48</v>
      </c>
      <c r="C87" s="10" t="e">
        <f>+VLOOKUP(Entrées!B87,#REF!,3,0)</f>
        <v>#REF!</v>
      </c>
      <c r="D87" s="10">
        <v>1</v>
      </c>
    </row>
    <row r="88" spans="1:4" x14ac:dyDescent="0.25">
      <c r="A88" s="22">
        <v>45267</v>
      </c>
      <c r="B88" s="11" t="s">
        <v>16</v>
      </c>
      <c r="C88" s="10" t="e">
        <f>+VLOOKUP(Entrées!B88,#REF!,3,0)</f>
        <v>#REF!</v>
      </c>
      <c r="D88" s="10">
        <v>1</v>
      </c>
    </row>
    <row r="89" spans="1:4" x14ac:dyDescent="0.25">
      <c r="A89" s="22">
        <v>45267</v>
      </c>
      <c r="B89" s="10" t="s">
        <v>48</v>
      </c>
      <c r="C89" s="10" t="e">
        <f>+VLOOKUP(Entrées!B89,#REF!,3,0)</f>
        <v>#REF!</v>
      </c>
      <c r="D89" s="10">
        <v>1</v>
      </c>
    </row>
    <row r="90" spans="1:4" x14ac:dyDescent="0.25">
      <c r="A90" s="22">
        <v>45267</v>
      </c>
      <c r="B90" s="10" t="s">
        <v>51</v>
      </c>
      <c r="C90" s="10" t="e">
        <f>+VLOOKUP(Entrées!B90,#REF!,3,0)</f>
        <v>#REF!</v>
      </c>
      <c r="D90" s="10">
        <v>1</v>
      </c>
    </row>
    <row r="91" spans="1:4" x14ac:dyDescent="0.25">
      <c r="A91" s="22">
        <v>45271</v>
      </c>
      <c r="B91" s="10" t="s">
        <v>48</v>
      </c>
      <c r="C91" s="10" t="e">
        <f>+VLOOKUP(Entrées!B91,#REF!,3,0)</f>
        <v>#REF!</v>
      </c>
      <c r="D91" s="10">
        <v>1</v>
      </c>
    </row>
    <row r="92" spans="1:4" x14ac:dyDescent="0.25">
      <c r="A92" s="22">
        <v>45271</v>
      </c>
      <c r="B92" s="10" t="s">
        <v>51</v>
      </c>
      <c r="C92" s="10" t="e">
        <f>+VLOOKUP(Entrées!B92,#REF!,3,0)</f>
        <v>#REF!</v>
      </c>
      <c r="D92" s="10">
        <v>1</v>
      </c>
    </row>
    <row r="93" spans="1:4" x14ac:dyDescent="0.25">
      <c r="A93" s="22">
        <v>45295</v>
      </c>
      <c r="B93" s="10" t="s">
        <v>20</v>
      </c>
      <c r="C93" s="10" t="e">
        <f>+VLOOKUP(Entrées!B93,#REF!,3,0)</f>
        <v>#REF!</v>
      </c>
      <c r="D93" s="10">
        <v>2</v>
      </c>
    </row>
    <row r="94" spans="1:4" x14ac:dyDescent="0.25">
      <c r="A94" s="22">
        <v>45296</v>
      </c>
      <c r="B94" s="10" t="s">
        <v>20</v>
      </c>
      <c r="C94" s="10" t="e">
        <f>+VLOOKUP(Entrées!B94,#REF!,3,0)</f>
        <v>#REF!</v>
      </c>
      <c r="D94" s="10">
        <v>2</v>
      </c>
    </row>
    <row r="95" spans="1:4" x14ac:dyDescent="0.25">
      <c r="A95" s="22">
        <v>45314</v>
      </c>
      <c r="B95" s="10" t="s">
        <v>50</v>
      </c>
      <c r="C95" s="10" t="e">
        <f>+VLOOKUP(Entrées!B95,#REF!,3,0)</f>
        <v>#REF!</v>
      </c>
      <c r="D95" s="10">
        <v>1</v>
      </c>
    </row>
    <row r="96" spans="1:4" x14ac:dyDescent="0.25">
      <c r="A96" s="22">
        <v>45314</v>
      </c>
      <c r="B96" s="10" t="s">
        <v>47</v>
      </c>
      <c r="C96" s="10" t="e">
        <f>+VLOOKUP(Entrées!B96,#REF!,3,0)</f>
        <v>#REF!</v>
      </c>
      <c r="D96" s="10">
        <v>1</v>
      </c>
    </row>
    <row r="97" spans="1:4" x14ac:dyDescent="0.25">
      <c r="A97" s="22">
        <v>45317</v>
      </c>
      <c r="B97" s="10" t="s">
        <v>23</v>
      </c>
      <c r="C97" s="10" t="e">
        <f>+VLOOKUP(Entrées!B97,#REF!,3,0)</f>
        <v>#REF!</v>
      </c>
      <c r="D97" s="10">
        <v>1</v>
      </c>
    </row>
    <row r="98" spans="1:4" x14ac:dyDescent="0.25">
      <c r="A98" s="22">
        <v>45329</v>
      </c>
      <c r="B98" s="4" t="s">
        <v>20</v>
      </c>
      <c r="C98" s="10" t="e">
        <f>+VLOOKUP(Entrées!B98,#REF!,3,0)</f>
        <v>#REF!</v>
      </c>
      <c r="D98" s="10">
        <v>1</v>
      </c>
    </row>
    <row r="99" spans="1:4" x14ac:dyDescent="0.25">
      <c r="A99" s="22">
        <v>45329</v>
      </c>
      <c r="B99" s="10" t="s">
        <v>25</v>
      </c>
      <c r="C99" s="10" t="e">
        <f>+VLOOKUP(Entrées!B99,#REF!,3,0)</f>
        <v>#REF!</v>
      </c>
      <c r="D99" s="10">
        <v>1</v>
      </c>
    </row>
    <row r="100" spans="1:4" x14ac:dyDescent="0.25">
      <c r="A100" s="22">
        <v>45329</v>
      </c>
      <c r="B100" s="10" t="s">
        <v>23</v>
      </c>
      <c r="C100" s="10" t="e">
        <f>+VLOOKUP(Entrées!B100,#REF!,3,0)</f>
        <v>#REF!</v>
      </c>
      <c r="D100" s="10">
        <v>2</v>
      </c>
    </row>
    <row r="101" spans="1:4" x14ac:dyDescent="0.25">
      <c r="A101" s="22">
        <v>45330</v>
      </c>
      <c r="B101" s="4" t="s">
        <v>20</v>
      </c>
      <c r="C101" s="10" t="e">
        <f>+VLOOKUP(Entrées!B101,#REF!,3,0)</f>
        <v>#REF!</v>
      </c>
      <c r="D101" s="10">
        <v>1</v>
      </c>
    </row>
    <row r="102" spans="1:4" x14ac:dyDescent="0.25">
      <c r="A102" s="22">
        <v>45330</v>
      </c>
      <c r="B102" s="10" t="s">
        <v>48</v>
      </c>
      <c r="C102" s="10" t="e">
        <f>+VLOOKUP(Entrées!B102,#REF!,3,0)</f>
        <v>#REF!</v>
      </c>
      <c r="D102" s="10">
        <v>1</v>
      </c>
    </row>
    <row r="103" spans="1:4" x14ac:dyDescent="0.25">
      <c r="A103" s="22">
        <v>45336</v>
      </c>
      <c r="B103" s="10" t="s">
        <v>45</v>
      </c>
      <c r="C103" s="10" t="e">
        <f>+VLOOKUP(Entrées!B103,#REF!,3,0)</f>
        <v>#REF!</v>
      </c>
      <c r="D103" s="10">
        <v>1</v>
      </c>
    </row>
    <row r="104" spans="1:4" x14ac:dyDescent="0.25">
      <c r="A104" s="22">
        <v>45337</v>
      </c>
      <c r="B104" s="10" t="s">
        <v>17</v>
      </c>
      <c r="C104" s="10" t="e">
        <f>+VLOOKUP(Entrées!B104,#REF!,3,0)</f>
        <v>#REF!</v>
      </c>
      <c r="D104" s="10">
        <v>1</v>
      </c>
    </row>
    <row r="105" spans="1:4" x14ac:dyDescent="0.25">
      <c r="A105" s="22">
        <v>45343</v>
      </c>
      <c r="B105" s="10" t="s">
        <v>19</v>
      </c>
      <c r="C105" s="10" t="e">
        <f>+VLOOKUP(Entrées!B105,#REF!,3,0)</f>
        <v>#REF!</v>
      </c>
      <c r="D105" s="10">
        <v>1</v>
      </c>
    </row>
    <row r="106" spans="1:4" x14ac:dyDescent="0.25">
      <c r="A106" s="22">
        <v>45344</v>
      </c>
      <c r="B106" s="10" t="s">
        <v>46</v>
      </c>
      <c r="C106" s="10" t="e">
        <f>+VLOOKUP(Entrées!B106,#REF!,3,0)</f>
        <v>#REF!</v>
      </c>
      <c r="D106" s="10">
        <v>1</v>
      </c>
    </row>
    <row r="107" spans="1:4" x14ac:dyDescent="0.25">
      <c r="A107" s="22">
        <v>45348</v>
      </c>
      <c r="B107" s="10" t="s">
        <v>23</v>
      </c>
      <c r="C107" s="10" t="e">
        <f>+VLOOKUP(Entrées!B107,#REF!,3,0)</f>
        <v>#REF!</v>
      </c>
      <c r="D107" s="10">
        <v>1</v>
      </c>
    </row>
    <row r="108" spans="1:4" x14ac:dyDescent="0.25">
      <c r="A108" s="22">
        <v>45349</v>
      </c>
      <c r="B108" s="10" t="s">
        <v>23</v>
      </c>
      <c r="C108" s="10" t="e">
        <f>+VLOOKUP(Entrées!B108,#REF!,3,0)</f>
        <v>#REF!</v>
      </c>
      <c r="D108" s="10">
        <v>1</v>
      </c>
    </row>
    <row r="109" spans="1:4" x14ac:dyDescent="0.25">
      <c r="A109" s="22">
        <v>45349</v>
      </c>
      <c r="B109" s="10" t="s">
        <v>44</v>
      </c>
      <c r="C109" s="10" t="e">
        <f>+VLOOKUP(Entrées!B109,#REF!,3,0)</f>
        <v>#REF!</v>
      </c>
      <c r="D109" s="10">
        <v>1</v>
      </c>
    </row>
    <row r="110" spans="1:4" x14ac:dyDescent="0.25">
      <c r="A110" s="22">
        <v>45359</v>
      </c>
      <c r="B110" s="10" t="s">
        <v>20</v>
      </c>
      <c r="C110" s="10" t="e">
        <f>+VLOOKUP(Entrées!B110,#REF!,3,0)</f>
        <v>#REF!</v>
      </c>
      <c r="D110" s="10">
        <v>1</v>
      </c>
    </row>
    <row r="111" spans="1:4" x14ac:dyDescent="0.25">
      <c r="A111" s="22">
        <v>45363</v>
      </c>
      <c r="B111" s="4" t="s">
        <v>20</v>
      </c>
      <c r="C111" s="10" t="e">
        <f>+VLOOKUP(Entrées!B111,#REF!,3,0)</f>
        <v>#REF!</v>
      </c>
      <c r="D111" s="10">
        <v>1</v>
      </c>
    </row>
    <row r="112" spans="1:4" x14ac:dyDescent="0.25">
      <c r="A112" s="22">
        <v>45363</v>
      </c>
      <c r="B112" s="10" t="s">
        <v>22</v>
      </c>
      <c r="C112" s="10" t="e">
        <f>+VLOOKUP(Entrées!B112,#REF!,3,0)</f>
        <v>#REF!</v>
      </c>
      <c r="D112" s="10">
        <v>1</v>
      </c>
    </row>
    <row r="113" spans="1:4" x14ac:dyDescent="0.25">
      <c r="A113" s="22">
        <v>45364</v>
      </c>
      <c r="B113" s="10" t="s">
        <v>23</v>
      </c>
      <c r="C113" s="10" t="e">
        <f>+VLOOKUP(Entrées!B113,#REF!,3,0)</f>
        <v>#REF!</v>
      </c>
      <c r="D113" s="10">
        <v>1</v>
      </c>
    </row>
    <row r="114" spans="1:4" x14ac:dyDescent="0.25">
      <c r="A114" s="22">
        <v>45365</v>
      </c>
      <c r="B114" s="10" t="s">
        <v>20</v>
      </c>
      <c r="C114" s="10" t="e">
        <f>+VLOOKUP(Entrées!B114,#REF!,3,0)</f>
        <v>#REF!</v>
      </c>
      <c r="D114" s="10">
        <v>1</v>
      </c>
    </row>
    <row r="115" spans="1:4" x14ac:dyDescent="0.25">
      <c r="A115" s="22">
        <v>45366</v>
      </c>
      <c r="B115" s="11" t="s">
        <v>16</v>
      </c>
      <c r="C115" s="10" t="e">
        <f>+VLOOKUP(Entrées!B115,#REF!,3,0)</f>
        <v>#REF!</v>
      </c>
      <c r="D115" s="10">
        <v>1</v>
      </c>
    </row>
    <row r="116" spans="1:4" x14ac:dyDescent="0.25">
      <c r="A116" s="22">
        <v>45370</v>
      </c>
      <c r="B116" s="4" t="s">
        <v>20</v>
      </c>
      <c r="C116" s="10" t="e">
        <f>+VLOOKUP(Entrées!B116,#REF!,3,0)</f>
        <v>#REF!</v>
      </c>
      <c r="D116" s="10">
        <v>1</v>
      </c>
    </row>
    <row r="117" spans="1:4" x14ac:dyDescent="0.25">
      <c r="A117" s="22">
        <v>45370</v>
      </c>
      <c r="B117" s="10" t="s">
        <v>22</v>
      </c>
      <c r="C117" s="10" t="e">
        <f>+VLOOKUP(Entrées!B117,#REF!,3,0)</f>
        <v>#REF!</v>
      </c>
      <c r="D117" s="10">
        <v>1</v>
      </c>
    </row>
    <row r="118" spans="1:4" x14ac:dyDescent="0.25">
      <c r="A118" s="22">
        <v>45372</v>
      </c>
      <c r="B118" s="4" t="s">
        <v>20</v>
      </c>
      <c r="C118" s="10" t="e">
        <f>+VLOOKUP(Entrées!B118,#REF!,3,0)</f>
        <v>#REF!</v>
      </c>
      <c r="D118" s="10">
        <v>1</v>
      </c>
    </row>
    <row r="119" spans="1:4" x14ac:dyDescent="0.25">
      <c r="A119" s="22">
        <v>45372</v>
      </c>
      <c r="B119" s="10" t="s">
        <v>22</v>
      </c>
      <c r="C119" s="10" t="e">
        <f>+VLOOKUP(Entrées!B119,#REF!,3,0)</f>
        <v>#REF!</v>
      </c>
      <c r="D119" s="10">
        <v>1</v>
      </c>
    </row>
    <row r="120" spans="1:4" x14ac:dyDescent="0.25">
      <c r="A120" s="22">
        <v>45384</v>
      </c>
      <c r="B120" s="4" t="s">
        <v>20</v>
      </c>
      <c r="C120" s="10" t="e">
        <f>+VLOOKUP(Entrées!B120,#REF!,3,0)</f>
        <v>#REF!</v>
      </c>
      <c r="D120" s="10">
        <v>1</v>
      </c>
    </row>
    <row r="121" spans="1:4" x14ac:dyDescent="0.25">
      <c r="A121" s="22">
        <v>45385</v>
      </c>
      <c r="B121" s="10" t="s">
        <v>22</v>
      </c>
      <c r="C121" s="10" t="e">
        <f>+VLOOKUP(Entrées!B121,#REF!,3,0)</f>
        <v>#REF!</v>
      </c>
      <c r="D121" s="10">
        <v>1</v>
      </c>
    </row>
    <row r="122" spans="1:4" x14ac:dyDescent="0.25">
      <c r="A122" s="22">
        <v>45420</v>
      </c>
      <c r="B122" s="10" t="s">
        <v>25</v>
      </c>
      <c r="C122" s="10" t="e">
        <f>+VLOOKUP(Entrées!B122,#REF!,3,0)</f>
        <v>#REF!</v>
      </c>
      <c r="D122" s="10">
        <v>2</v>
      </c>
    </row>
    <row r="123" spans="1:4" x14ac:dyDescent="0.25">
      <c r="A123" s="22">
        <v>45439</v>
      </c>
      <c r="B123" s="4" t="s">
        <v>20</v>
      </c>
      <c r="C123" s="10" t="e">
        <f>+VLOOKUP(Entrées!B123,#REF!,3,0)</f>
        <v>#REF!</v>
      </c>
      <c r="D123" s="10">
        <v>1</v>
      </c>
    </row>
    <row r="124" spans="1:4" x14ac:dyDescent="0.25">
      <c r="A124" s="22">
        <v>45439</v>
      </c>
      <c r="B124" s="10" t="s">
        <v>25</v>
      </c>
      <c r="C124" s="10" t="e">
        <f>+VLOOKUP(Entrées!B124,#REF!,3,0)</f>
        <v>#REF!</v>
      </c>
      <c r="D124" s="10">
        <v>1</v>
      </c>
    </row>
    <row r="125" spans="1:4" x14ac:dyDescent="0.25">
      <c r="A125" s="22">
        <v>45440</v>
      </c>
      <c r="B125" s="10" t="s">
        <v>23</v>
      </c>
      <c r="C125" s="10" t="e">
        <f>+VLOOKUP(Entrées!B125,#REF!,3,0)</f>
        <v>#REF!</v>
      </c>
      <c r="D125" s="10">
        <v>1</v>
      </c>
    </row>
    <row r="126" spans="1:4" x14ac:dyDescent="0.25">
      <c r="A126" s="22">
        <v>45449</v>
      </c>
      <c r="B126" s="10" t="s">
        <v>25</v>
      </c>
      <c r="C126" s="10" t="e">
        <f>+VLOOKUP(Entrées!B126,#REF!,3,0)</f>
        <v>#REF!</v>
      </c>
      <c r="D126" s="10">
        <v>3</v>
      </c>
    </row>
    <row r="127" spans="1:4" x14ac:dyDescent="0.25">
      <c r="A127" s="22">
        <v>45449</v>
      </c>
      <c r="B127" s="10" t="s">
        <v>22</v>
      </c>
      <c r="C127" s="10" t="e">
        <f>+VLOOKUP(Entrées!B127,#REF!,3,0)</f>
        <v>#REF!</v>
      </c>
      <c r="D127" s="10">
        <v>1</v>
      </c>
    </row>
    <row r="128" spans="1:4" x14ac:dyDescent="0.25">
      <c r="A128" s="22">
        <v>45449</v>
      </c>
      <c r="B128" s="10" t="s">
        <v>20</v>
      </c>
      <c r="C128" s="10" t="e">
        <f>+VLOOKUP(Entrées!B128,#REF!,3,0)</f>
        <v>#REF!</v>
      </c>
      <c r="D128" s="10">
        <v>1</v>
      </c>
    </row>
    <row r="129" spans="1:4" x14ac:dyDescent="0.25">
      <c r="A129" s="22">
        <v>45444</v>
      </c>
      <c r="B129" s="10" t="s">
        <v>22</v>
      </c>
      <c r="C129" s="10" t="e">
        <f>+VLOOKUP(Entrées!B129,#REF!,3,0)</f>
        <v>#REF!</v>
      </c>
      <c r="D129" s="20">
        <v>6</v>
      </c>
    </row>
    <row r="130" spans="1:4" x14ac:dyDescent="0.25">
      <c r="A130" s="22">
        <v>45444</v>
      </c>
      <c r="B130" s="10" t="s">
        <v>25</v>
      </c>
      <c r="C130" s="10" t="e">
        <f>+VLOOKUP(Entrées!B130,#REF!,3,0)</f>
        <v>#REF!</v>
      </c>
      <c r="D130" s="20">
        <v>2</v>
      </c>
    </row>
    <row r="131" spans="1:4" x14ac:dyDescent="0.25">
      <c r="A131" s="22">
        <v>45444</v>
      </c>
      <c r="B131" s="10" t="s">
        <v>20</v>
      </c>
      <c r="C131" s="10" t="e">
        <f>+VLOOKUP(Entrées!B131,#REF!,3,0)</f>
        <v>#REF!</v>
      </c>
      <c r="D131" s="20">
        <v>3</v>
      </c>
    </row>
    <row r="132" spans="1:4" x14ac:dyDescent="0.25">
      <c r="A132" s="22">
        <v>45444</v>
      </c>
      <c r="B132" s="11" t="s">
        <v>16</v>
      </c>
      <c r="C132" s="10" t="e">
        <f>+VLOOKUP(Entrées!B132,#REF!,3,0)</f>
        <v>#REF!</v>
      </c>
      <c r="D132" s="20">
        <v>1</v>
      </c>
    </row>
    <row r="133" spans="1:4" x14ac:dyDescent="0.25">
      <c r="A133" s="22">
        <v>45444</v>
      </c>
      <c r="B133" s="10" t="s">
        <v>18</v>
      </c>
      <c r="C133" s="10" t="e">
        <f>+VLOOKUP(Entrées!B133,#REF!,3,0)</f>
        <v>#REF!</v>
      </c>
      <c r="D133" s="20">
        <v>2</v>
      </c>
    </row>
    <row r="134" spans="1:4" x14ac:dyDescent="0.25">
      <c r="A134" s="22">
        <v>45444</v>
      </c>
      <c r="B134" s="10" t="s">
        <v>19</v>
      </c>
      <c r="C134" s="10" t="e">
        <f>+VLOOKUP(Entrées!B134,#REF!,3,0)</f>
        <v>#REF!</v>
      </c>
      <c r="D134" s="20">
        <v>2</v>
      </c>
    </row>
    <row r="135" spans="1:4" x14ac:dyDescent="0.25">
      <c r="A135" s="22">
        <v>45444</v>
      </c>
      <c r="B135" s="10" t="s">
        <v>17</v>
      </c>
      <c r="C135" s="10" t="e">
        <f>+VLOOKUP(Entrées!B135,#REF!,3,0)</f>
        <v>#REF!</v>
      </c>
      <c r="D135" s="20">
        <v>2</v>
      </c>
    </row>
    <row r="136" spans="1:4" x14ac:dyDescent="0.25">
      <c r="A136" s="22">
        <v>45444</v>
      </c>
      <c r="B136" s="10" t="s">
        <v>45</v>
      </c>
      <c r="C136" s="10" t="e">
        <f>+VLOOKUP(Entrées!B136,#REF!,3,0)</f>
        <v>#REF!</v>
      </c>
      <c r="D136" s="20">
        <v>3</v>
      </c>
    </row>
    <row r="137" spans="1:4" x14ac:dyDescent="0.25">
      <c r="A137" s="22">
        <v>45444</v>
      </c>
      <c r="B137" s="10" t="s">
        <v>46</v>
      </c>
      <c r="C137" s="10" t="e">
        <f>+VLOOKUP(Entrées!B137,#REF!,3,0)</f>
        <v>#REF!</v>
      </c>
      <c r="D137" s="20">
        <v>1</v>
      </c>
    </row>
    <row r="138" spans="1:4" x14ac:dyDescent="0.25">
      <c r="A138" s="22">
        <v>45455</v>
      </c>
      <c r="B138" s="4" t="s">
        <v>20</v>
      </c>
      <c r="C138" s="10" t="e">
        <f>+VLOOKUP(Entrées!B138,#REF!,3,0)</f>
        <v>#REF!</v>
      </c>
      <c r="D138" s="20">
        <v>1</v>
      </c>
    </row>
    <row r="139" spans="1:4" x14ac:dyDescent="0.25">
      <c r="A139" s="22">
        <v>45455</v>
      </c>
      <c r="B139" s="27" t="s">
        <v>77</v>
      </c>
      <c r="C139" s="10" t="e">
        <f>+VLOOKUP(Entrées!B139,#REF!,3,0)</f>
        <v>#REF!</v>
      </c>
      <c r="D139" s="20">
        <v>1</v>
      </c>
    </row>
    <row r="140" spans="1:4" x14ac:dyDescent="0.25">
      <c r="A140" s="22">
        <v>45475</v>
      </c>
      <c r="B140" s="4" t="s">
        <v>20</v>
      </c>
      <c r="C140" s="10" t="e">
        <f>+VLOOKUP(Entrées!B140,#REF!,3,0)</f>
        <v>#REF!</v>
      </c>
      <c r="D140" s="20">
        <v>1</v>
      </c>
    </row>
    <row r="141" spans="1:4" x14ac:dyDescent="0.25">
      <c r="A141" s="22">
        <v>45475</v>
      </c>
      <c r="B141" s="10" t="s">
        <v>47</v>
      </c>
      <c r="C141" s="10" t="e">
        <f>+VLOOKUP(Entrées!B141,#REF!,3,0)</f>
        <v>#REF!</v>
      </c>
      <c r="D141" s="20">
        <v>1</v>
      </c>
    </row>
    <row r="142" spans="1:4" x14ac:dyDescent="0.25">
      <c r="A142" s="22">
        <v>45478</v>
      </c>
      <c r="B142" s="4" t="s">
        <v>20</v>
      </c>
      <c r="C142" s="10" t="e">
        <f>+VLOOKUP(Entrées!B142,#REF!,3,0)</f>
        <v>#REF!</v>
      </c>
      <c r="D142" s="20">
        <v>1</v>
      </c>
    </row>
    <row r="143" spans="1:4" x14ac:dyDescent="0.25">
      <c r="A143" s="22">
        <v>45478</v>
      </c>
      <c r="B143" s="10" t="s">
        <v>52</v>
      </c>
      <c r="C143" s="10" t="e">
        <f>+VLOOKUP(Entrées!B143,#REF!,3,0)</f>
        <v>#REF!</v>
      </c>
      <c r="D143" s="20">
        <v>1</v>
      </c>
    </row>
    <row r="144" spans="1:4" x14ac:dyDescent="0.25">
      <c r="A144" s="22">
        <v>45479</v>
      </c>
      <c r="B144" s="27" t="s">
        <v>77</v>
      </c>
      <c r="C144" s="10" t="e">
        <f>+VLOOKUP(Entrées!B144,#REF!,3,0)</f>
        <v>#REF!</v>
      </c>
      <c r="D144" s="20">
        <v>1</v>
      </c>
    </row>
    <row r="145" spans="1:4" x14ac:dyDescent="0.25">
      <c r="A145" s="22">
        <v>45479</v>
      </c>
      <c r="B145" s="27" t="s">
        <v>79</v>
      </c>
      <c r="C145" s="10" t="e">
        <f>+VLOOKUP(Entrées!B145,#REF!,3,0)</f>
        <v>#REF!</v>
      </c>
      <c r="D145" s="20">
        <v>2</v>
      </c>
    </row>
    <row r="146" spans="1:4" x14ac:dyDescent="0.25">
      <c r="A146" s="22">
        <v>45479</v>
      </c>
      <c r="B146" s="27" t="s">
        <v>78</v>
      </c>
      <c r="C146" s="10" t="e">
        <f>+VLOOKUP(Entrées!B146,#REF!,3,0)</f>
        <v>#REF!</v>
      </c>
      <c r="D146" s="20">
        <v>2</v>
      </c>
    </row>
    <row r="147" spans="1:4" x14ac:dyDescent="0.25">
      <c r="A147" s="22">
        <v>45479</v>
      </c>
      <c r="B147" s="27" t="s">
        <v>80</v>
      </c>
      <c r="C147" s="10" t="e">
        <f>+VLOOKUP(Entrées!B147,#REF!,3,0)</f>
        <v>#REF!</v>
      </c>
      <c r="D147" s="20">
        <v>1</v>
      </c>
    </row>
    <row r="148" spans="1:4" x14ac:dyDescent="0.25">
      <c r="A148" s="22">
        <v>45483</v>
      </c>
      <c r="B148" s="10" t="s">
        <v>25</v>
      </c>
      <c r="C148" s="10" t="e">
        <f>+VLOOKUP(Entrées!B148,#REF!,3,0)</f>
        <v>#REF!</v>
      </c>
      <c r="D148" s="20">
        <v>1</v>
      </c>
    </row>
    <row r="149" spans="1:4" x14ac:dyDescent="0.25">
      <c r="A149" s="22">
        <v>45483</v>
      </c>
      <c r="B149" s="10" t="s">
        <v>52</v>
      </c>
      <c r="C149" s="10" t="e">
        <f>+VLOOKUP(Entrées!B149,#REF!,3,0)</f>
        <v>#REF!</v>
      </c>
      <c r="D149" s="20">
        <v>1</v>
      </c>
    </row>
    <row r="150" spans="1:4" x14ac:dyDescent="0.25">
      <c r="A150" s="22">
        <v>45483</v>
      </c>
      <c r="B150" s="10" t="s">
        <v>35</v>
      </c>
      <c r="C150" s="10" t="e">
        <f>+VLOOKUP(Entrées!B150,#REF!,3,0)</f>
        <v>#REF!</v>
      </c>
      <c r="D150" s="20">
        <v>1</v>
      </c>
    </row>
    <row r="151" spans="1:4" x14ac:dyDescent="0.25">
      <c r="A151" s="22">
        <v>45483</v>
      </c>
      <c r="B151" s="10" t="s">
        <v>37</v>
      </c>
      <c r="C151" s="10" t="e">
        <f>+VLOOKUP(Entrées!B151,#REF!,3,0)</f>
        <v>#REF!</v>
      </c>
      <c r="D151" s="20">
        <v>1</v>
      </c>
    </row>
    <row r="152" spans="1:4" x14ac:dyDescent="0.25">
      <c r="A152" s="22">
        <v>45483</v>
      </c>
      <c r="B152" s="10" t="s">
        <v>38</v>
      </c>
      <c r="C152" s="10" t="e">
        <f>+VLOOKUP(Entrées!B152,#REF!,3,0)</f>
        <v>#REF!</v>
      </c>
      <c r="D152" s="20">
        <v>1</v>
      </c>
    </row>
    <row r="153" spans="1:4" x14ac:dyDescent="0.25">
      <c r="A153" s="22">
        <v>45483</v>
      </c>
      <c r="B153" s="10" t="s">
        <v>39</v>
      </c>
      <c r="C153" s="10" t="e">
        <f>+VLOOKUP(Entrées!B153,#REF!,3,0)</f>
        <v>#REF!</v>
      </c>
      <c r="D153" s="20">
        <v>1</v>
      </c>
    </row>
    <row r="154" spans="1:4" x14ac:dyDescent="0.25">
      <c r="A154" s="22">
        <v>45489</v>
      </c>
      <c r="B154" s="4" t="s">
        <v>20</v>
      </c>
      <c r="C154" s="10" t="e">
        <f>+VLOOKUP(Entrées!B154,#REF!,3,0)</f>
        <v>#REF!</v>
      </c>
      <c r="D154" s="20">
        <v>1</v>
      </c>
    </row>
    <row r="155" spans="1:4" x14ac:dyDescent="0.25">
      <c r="A155" s="22">
        <v>45490</v>
      </c>
      <c r="B155" s="10" t="s">
        <v>23</v>
      </c>
      <c r="C155" s="10" t="e">
        <f>+VLOOKUP(Entrées!B155,#REF!,3,0)</f>
        <v>#REF!</v>
      </c>
      <c r="D155" s="20">
        <v>1</v>
      </c>
    </row>
    <row r="156" spans="1:4" x14ac:dyDescent="0.25">
      <c r="A156" s="22">
        <v>45495</v>
      </c>
      <c r="B156" s="11" t="s">
        <v>16</v>
      </c>
      <c r="C156" s="10" t="e">
        <f>+VLOOKUP(Entrées!B156,#REF!,3,0)</f>
        <v>#REF!</v>
      </c>
      <c r="D156" s="20">
        <v>1</v>
      </c>
    </row>
    <row r="157" spans="1:4" x14ac:dyDescent="0.25">
      <c r="A157" s="22">
        <v>45495</v>
      </c>
      <c r="B157" s="10" t="s">
        <v>29</v>
      </c>
      <c r="C157" s="10" t="e">
        <f>+VLOOKUP(Entrées!B157,#REF!,3,0)</f>
        <v>#REF!</v>
      </c>
      <c r="D157" s="20">
        <v>1</v>
      </c>
    </row>
    <row r="158" spans="1:4" x14ac:dyDescent="0.25">
      <c r="A158" s="22">
        <v>45495</v>
      </c>
      <c r="B158" s="10" t="s">
        <v>35</v>
      </c>
      <c r="C158" s="10" t="e">
        <f>+VLOOKUP(Entrées!B158,#REF!,3,0)</f>
        <v>#REF!</v>
      </c>
      <c r="D158" s="20">
        <v>1</v>
      </c>
    </row>
    <row r="159" spans="1:4" x14ac:dyDescent="0.25">
      <c r="A159" s="22">
        <v>45495</v>
      </c>
      <c r="B159" s="10" t="s">
        <v>44</v>
      </c>
      <c r="C159" s="10" t="e">
        <f>+VLOOKUP(Entrées!B159,#REF!,3,0)</f>
        <v>#REF!</v>
      </c>
      <c r="D159" s="20">
        <v>1</v>
      </c>
    </row>
    <row r="160" spans="1:4" x14ac:dyDescent="0.25">
      <c r="A160" s="22">
        <v>45496</v>
      </c>
      <c r="B160" s="10" t="s">
        <v>50</v>
      </c>
      <c r="C160" s="10" t="e">
        <f>+VLOOKUP(Entrées!B160,#REF!,3,0)</f>
        <v>#REF!</v>
      </c>
      <c r="D160" s="20">
        <v>2</v>
      </c>
    </row>
    <row r="161" spans="1:4" x14ac:dyDescent="0.25">
      <c r="A161" s="22">
        <v>45500</v>
      </c>
      <c r="B161" s="10" t="s">
        <v>25</v>
      </c>
      <c r="C161" s="10" t="e">
        <f>+VLOOKUP(Entrées!B161,#REF!,3,0)</f>
        <v>#REF!</v>
      </c>
      <c r="D161" s="20">
        <v>1</v>
      </c>
    </row>
    <row r="162" spans="1:4" x14ac:dyDescent="0.25">
      <c r="A162" s="22">
        <v>45503</v>
      </c>
      <c r="B162" s="10" t="s">
        <v>48</v>
      </c>
      <c r="C162" s="10" t="e">
        <f>+VLOOKUP(Entrées!B162,#REF!,3,0)</f>
        <v>#REF!</v>
      </c>
      <c r="D162" s="20">
        <v>1</v>
      </c>
    </row>
    <row r="163" spans="1:4" x14ac:dyDescent="0.25">
      <c r="A163" s="22">
        <v>45540</v>
      </c>
      <c r="B163" s="10" t="s">
        <v>23</v>
      </c>
      <c r="C163" s="10" t="e">
        <f>+VLOOKUP(Entrées!B163,#REF!,3,0)</f>
        <v>#REF!</v>
      </c>
      <c r="D163" s="20">
        <v>1</v>
      </c>
    </row>
    <row r="164" spans="1:4" x14ac:dyDescent="0.25">
      <c r="A164" s="22">
        <v>45547</v>
      </c>
      <c r="B164" s="10" t="s">
        <v>48</v>
      </c>
      <c r="C164" s="10" t="e">
        <f>+VLOOKUP(Entrées!B164,#REF!,3,0)</f>
        <v>#REF!</v>
      </c>
      <c r="D164" s="20">
        <v>1</v>
      </c>
    </row>
    <row r="165" spans="1:4" x14ac:dyDescent="0.25">
      <c r="A165" s="22">
        <v>45547</v>
      </c>
      <c r="B165" s="10" t="s">
        <v>50</v>
      </c>
      <c r="C165" s="10" t="e">
        <f>+VLOOKUP(Entrées!B165,#REF!,3,0)</f>
        <v>#REF!</v>
      </c>
      <c r="D165" s="20">
        <v>1</v>
      </c>
    </row>
    <row r="166" spans="1:4" x14ac:dyDescent="0.25">
      <c r="A166" s="22">
        <v>45547</v>
      </c>
      <c r="B166" s="10" t="s">
        <v>51</v>
      </c>
      <c r="C166" s="10" t="e">
        <f>+VLOOKUP(Entrées!B166,#REF!,3,0)</f>
        <v>#REF!</v>
      </c>
      <c r="D166" s="20">
        <v>1</v>
      </c>
    </row>
    <row r="167" spans="1:4" x14ac:dyDescent="0.25">
      <c r="A167" s="22">
        <v>45547</v>
      </c>
      <c r="B167" s="10" t="s">
        <v>52</v>
      </c>
      <c r="C167" s="10" t="e">
        <f>+VLOOKUP(Entrées!B167,#REF!,3,0)</f>
        <v>#REF!</v>
      </c>
      <c r="D167" s="20">
        <v>1</v>
      </c>
    </row>
    <row r="168" spans="1:4" x14ac:dyDescent="0.25">
      <c r="A168" s="22">
        <v>45547</v>
      </c>
      <c r="B168" s="10" t="s">
        <v>25</v>
      </c>
      <c r="C168" s="10" t="e">
        <f>+VLOOKUP(Entrées!B168,#REF!,3,0)</f>
        <v>#REF!</v>
      </c>
      <c r="D168" s="20">
        <v>1</v>
      </c>
    </row>
    <row r="169" spans="1:4" x14ac:dyDescent="0.25">
      <c r="A169" s="22">
        <v>45547</v>
      </c>
      <c r="B169" s="10" t="s">
        <v>44</v>
      </c>
      <c r="C169" s="10" t="e">
        <f>+VLOOKUP(Entrées!B169,#REF!,3,0)</f>
        <v>#REF!</v>
      </c>
      <c r="D169" s="20">
        <v>1</v>
      </c>
    </row>
    <row r="170" spans="1:4" x14ac:dyDescent="0.25">
      <c r="A170" s="22">
        <v>45554</v>
      </c>
      <c r="B170" s="4" t="s">
        <v>20</v>
      </c>
      <c r="C170" s="10" t="e">
        <f>+VLOOKUP(Entrées!B170,#REF!,3,0)</f>
        <v>#REF!</v>
      </c>
      <c r="D170" s="20">
        <v>1</v>
      </c>
    </row>
    <row r="171" spans="1:4" x14ac:dyDescent="0.25">
      <c r="A171" s="22">
        <v>45554</v>
      </c>
      <c r="B171" s="10" t="s">
        <v>22</v>
      </c>
      <c r="C171" s="10" t="e">
        <f>+VLOOKUP(Entrées!B171,#REF!,3,0)</f>
        <v>#REF!</v>
      </c>
      <c r="D171" s="20">
        <v>2</v>
      </c>
    </row>
    <row r="172" spans="1:4" x14ac:dyDescent="0.25">
      <c r="A172" s="22">
        <v>45558</v>
      </c>
      <c r="B172" s="10" t="s">
        <v>17</v>
      </c>
      <c r="C172" s="10" t="e">
        <f>+VLOOKUP(Entrées!B172,#REF!,3,0)</f>
        <v>#REF!</v>
      </c>
      <c r="D172" s="20">
        <v>1</v>
      </c>
    </row>
    <row r="173" spans="1:4" x14ac:dyDescent="0.25">
      <c r="A173" s="22">
        <v>45609</v>
      </c>
      <c r="B173" s="10" t="s">
        <v>19</v>
      </c>
      <c r="C173" s="10" t="e">
        <f>+VLOOKUP(Entrées!B173,#REF!,3,0)</f>
        <v>#REF!</v>
      </c>
      <c r="D173" s="20">
        <v>1</v>
      </c>
    </row>
    <row r="174" spans="1:4" x14ac:dyDescent="0.25">
      <c r="A174" s="22">
        <v>45609</v>
      </c>
      <c r="B174" s="10" t="s">
        <v>48</v>
      </c>
      <c r="C174" s="10" t="e">
        <f>+VLOOKUP(Entrées!B174,#REF!,3,0)</f>
        <v>#REF!</v>
      </c>
      <c r="D174" s="20">
        <v>1</v>
      </c>
    </row>
    <row r="175" spans="1:4" x14ac:dyDescent="0.25">
      <c r="A175" s="22">
        <v>45621</v>
      </c>
      <c r="B175" s="4" t="s">
        <v>20</v>
      </c>
      <c r="C175" s="10" t="e">
        <f>+VLOOKUP(Entrées!B175,#REF!,3,0)</f>
        <v>#REF!</v>
      </c>
      <c r="D175" s="20">
        <v>1</v>
      </c>
    </row>
    <row r="176" spans="1:4" x14ac:dyDescent="0.25">
      <c r="A176" s="22">
        <v>45621</v>
      </c>
      <c r="B176" s="10" t="s">
        <v>23</v>
      </c>
      <c r="C176" s="10" t="e">
        <f>+VLOOKUP(Entrées!B176,#REF!,3,0)</f>
        <v>#REF!</v>
      </c>
      <c r="D176" s="20">
        <v>1</v>
      </c>
    </row>
  </sheetData>
  <autoFilter ref="A1:D143" xr:uid="{FF0DB7E1-6973-4486-BD55-D6459447A20F}"/>
  <phoneticPr fontId="6" type="noConversion"/>
  <pageMargins left="0.7" right="0.7" top="0.75" bottom="0.75" header="0.3" footer="0.3"/>
  <pageSetup orientation="portrait"/>
  <headerFooter>
    <oddFooter>&amp;L&amp;1#&amp;"Arial"&amp;10&amp;K000000[Internal]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C57B-5F7B-41F5-8323-7C1583F2F913}">
  <sheetPr codeName="Feuil7">
    <tabColor rgb="FFFF0000"/>
  </sheetPr>
  <dimension ref="A1:D123"/>
  <sheetViews>
    <sheetView workbookViewId="0">
      <selection sqref="A1:D1"/>
    </sheetView>
  </sheetViews>
  <sheetFormatPr baseColWidth="10" defaultColWidth="11.5703125" defaultRowHeight="15" x14ac:dyDescent="0.25"/>
  <cols>
    <col min="1" max="1" width="13.42578125" bestFit="1" customWidth="1"/>
    <col min="2" max="2" width="48.85546875" bestFit="1" customWidth="1"/>
    <col min="3" max="3" width="14.140625" customWidth="1"/>
    <col min="4" max="4" width="8.85546875" bestFit="1" customWidth="1"/>
  </cols>
  <sheetData>
    <row r="1" spans="1:4" x14ac:dyDescent="0.25">
      <c r="A1" s="14" t="s">
        <v>63</v>
      </c>
      <c r="B1" s="15" t="s">
        <v>15</v>
      </c>
      <c r="C1" s="15" t="s">
        <v>61</v>
      </c>
      <c r="D1" s="15" t="s">
        <v>62</v>
      </c>
    </row>
    <row r="2" spans="1:4" x14ac:dyDescent="0.25">
      <c r="A2" s="20" t="s">
        <v>64</v>
      </c>
      <c r="B2" s="10" t="s">
        <v>22</v>
      </c>
      <c r="C2" s="20" t="e">
        <f>+VLOOKUP(B2,#REF!,3,0)</f>
        <v>#REF!</v>
      </c>
      <c r="D2" s="20">
        <v>1</v>
      </c>
    </row>
    <row r="3" spans="1:4" x14ac:dyDescent="0.25">
      <c r="A3" s="21">
        <v>44987</v>
      </c>
      <c r="B3" s="10" t="s">
        <v>25</v>
      </c>
      <c r="C3" s="20" t="e">
        <f>+VLOOKUP(B3,#REF!,3,0)</f>
        <v>#REF!</v>
      </c>
      <c r="D3" s="20">
        <v>2</v>
      </c>
    </row>
    <row r="4" spans="1:4" x14ac:dyDescent="0.25">
      <c r="A4" s="21">
        <v>44999</v>
      </c>
      <c r="B4" s="10" t="s">
        <v>22</v>
      </c>
      <c r="C4" s="20" t="e">
        <f>+VLOOKUP(B4,#REF!,3,0)</f>
        <v>#REF!</v>
      </c>
      <c r="D4" s="20">
        <v>1</v>
      </c>
    </row>
    <row r="5" spans="1:4" x14ac:dyDescent="0.25">
      <c r="A5" s="21">
        <v>45001</v>
      </c>
      <c r="B5" s="10" t="s">
        <v>20</v>
      </c>
      <c r="C5" s="20" t="s">
        <v>21</v>
      </c>
      <c r="D5" s="20">
        <v>1</v>
      </c>
    </row>
    <row r="6" spans="1:4" x14ac:dyDescent="0.25">
      <c r="A6" s="21">
        <v>45001</v>
      </c>
      <c r="B6" s="10" t="s">
        <v>23</v>
      </c>
      <c r="C6" s="20" t="s">
        <v>24</v>
      </c>
      <c r="D6" s="20">
        <v>1</v>
      </c>
    </row>
    <row r="7" spans="1:4" x14ac:dyDescent="0.25">
      <c r="A7" s="21">
        <v>45001</v>
      </c>
      <c r="B7" s="10" t="s">
        <v>25</v>
      </c>
      <c r="C7" s="20" t="s">
        <v>26</v>
      </c>
      <c r="D7" s="20">
        <v>1</v>
      </c>
    </row>
    <row r="8" spans="1:4" x14ac:dyDescent="0.25">
      <c r="A8" s="21">
        <v>45005</v>
      </c>
      <c r="B8" s="10" t="s">
        <v>29</v>
      </c>
      <c r="C8" s="20" t="s">
        <v>30</v>
      </c>
      <c r="D8" s="20">
        <v>1</v>
      </c>
    </row>
    <row r="9" spans="1:4" x14ac:dyDescent="0.25">
      <c r="A9" s="21">
        <v>45012</v>
      </c>
      <c r="B9" s="4" t="s">
        <v>20</v>
      </c>
      <c r="C9" s="20" t="s">
        <v>36</v>
      </c>
      <c r="D9" s="20">
        <v>1</v>
      </c>
    </row>
    <row r="10" spans="1:4" x14ac:dyDescent="0.25">
      <c r="A10" s="21">
        <v>45014</v>
      </c>
      <c r="B10" s="10" t="s">
        <v>23</v>
      </c>
      <c r="C10" s="10" t="s">
        <v>24</v>
      </c>
      <c r="D10" s="20">
        <v>2</v>
      </c>
    </row>
    <row r="11" spans="1:4" x14ac:dyDescent="0.25">
      <c r="A11" s="21">
        <v>45014</v>
      </c>
      <c r="B11" s="10" t="s">
        <v>25</v>
      </c>
      <c r="C11" s="10" t="s">
        <v>26</v>
      </c>
      <c r="D11" s="20">
        <v>1</v>
      </c>
    </row>
    <row r="12" spans="1:4" x14ac:dyDescent="0.25">
      <c r="A12" s="22">
        <v>45021</v>
      </c>
      <c r="B12" s="4" t="s">
        <v>20</v>
      </c>
      <c r="C12" s="10" t="e">
        <f>+VLOOKUP(Sorties!B12,#REF!,3,0)</f>
        <v>#REF!</v>
      </c>
      <c r="D12" s="10">
        <v>1</v>
      </c>
    </row>
    <row r="13" spans="1:4" x14ac:dyDescent="0.25">
      <c r="A13" s="22">
        <v>45021</v>
      </c>
      <c r="B13" s="10" t="s">
        <v>23</v>
      </c>
      <c r="C13" s="10" t="e">
        <f>+VLOOKUP(Sorties!B13,#REF!,3,0)</f>
        <v>#REF!</v>
      </c>
      <c r="D13" s="20">
        <v>1</v>
      </c>
    </row>
    <row r="14" spans="1:4" x14ac:dyDescent="0.25">
      <c r="A14" s="22">
        <v>45030</v>
      </c>
      <c r="B14" s="11" t="s">
        <v>16</v>
      </c>
      <c r="C14" s="10" t="e">
        <f>+VLOOKUP(Sorties!B14,#REF!,3,0)</f>
        <v>#REF!</v>
      </c>
      <c r="D14" s="20">
        <v>1</v>
      </c>
    </row>
    <row r="15" spans="1:4" x14ac:dyDescent="0.25">
      <c r="A15" s="22">
        <v>45048</v>
      </c>
      <c r="B15" s="11" t="s">
        <v>20</v>
      </c>
      <c r="C15" s="10" t="e">
        <f>+VLOOKUP(Sorties!B15,#REF!,3,0)</f>
        <v>#REF!</v>
      </c>
      <c r="D15" s="20">
        <v>1</v>
      </c>
    </row>
    <row r="16" spans="1:4" x14ac:dyDescent="0.25">
      <c r="A16" s="22">
        <v>45054</v>
      </c>
      <c r="B16" s="11" t="s">
        <v>20</v>
      </c>
      <c r="C16" s="10" t="e">
        <f>+VLOOKUP(Sorties!B16,#REF!,3,0)</f>
        <v>#REF!</v>
      </c>
      <c r="D16" s="20">
        <v>1</v>
      </c>
    </row>
    <row r="17" spans="1:4" x14ac:dyDescent="0.25">
      <c r="A17" s="22">
        <v>45085</v>
      </c>
      <c r="B17" s="10" t="s">
        <v>22</v>
      </c>
      <c r="C17" s="10" t="e">
        <f>+VLOOKUP(Sorties!B17,#REF!,3,0)</f>
        <v>#REF!</v>
      </c>
      <c r="D17" s="20">
        <v>1</v>
      </c>
    </row>
    <row r="18" spans="1:4" x14ac:dyDescent="0.25">
      <c r="A18" s="22">
        <v>45085</v>
      </c>
      <c r="B18" s="10" t="s">
        <v>23</v>
      </c>
      <c r="C18" s="10" t="e">
        <f>+VLOOKUP(Sorties!B18,#REF!,3,0)</f>
        <v>#REF!</v>
      </c>
      <c r="D18" s="20">
        <v>1</v>
      </c>
    </row>
    <row r="19" spans="1:4" x14ac:dyDescent="0.25">
      <c r="A19" s="22">
        <v>45085</v>
      </c>
      <c r="B19" s="10" t="s">
        <v>25</v>
      </c>
      <c r="C19" s="10" t="e">
        <f>+VLOOKUP(Sorties!B19,#REF!,3,0)</f>
        <v>#REF!</v>
      </c>
      <c r="D19" s="20">
        <v>1</v>
      </c>
    </row>
    <row r="20" spans="1:4" x14ac:dyDescent="0.25">
      <c r="A20" s="22">
        <v>45090</v>
      </c>
      <c r="B20" s="10" t="s">
        <v>44</v>
      </c>
      <c r="C20" s="10" t="e">
        <f>+VLOOKUP(Sorties!B20,#REF!,3,0)</f>
        <v>#REF!</v>
      </c>
      <c r="D20" s="20">
        <v>1</v>
      </c>
    </row>
    <row r="21" spans="1:4" x14ac:dyDescent="0.25">
      <c r="A21" s="22">
        <v>45085</v>
      </c>
      <c r="B21" s="10" t="s">
        <v>45</v>
      </c>
      <c r="C21" s="10" t="e">
        <f>+VLOOKUP(Sorties!B21,#REF!,3,0)</f>
        <v>#REF!</v>
      </c>
      <c r="D21" s="20">
        <v>1</v>
      </c>
    </row>
    <row r="22" spans="1:4" x14ac:dyDescent="0.25">
      <c r="A22" s="22">
        <v>45085</v>
      </c>
      <c r="B22" s="10" t="s">
        <v>47</v>
      </c>
      <c r="C22" s="10" t="e">
        <f>+VLOOKUP(Sorties!B22,#REF!,3,0)</f>
        <v>#REF!</v>
      </c>
      <c r="D22" s="20">
        <v>1</v>
      </c>
    </row>
    <row r="23" spans="1:4" x14ac:dyDescent="0.25">
      <c r="A23" s="22">
        <v>45091</v>
      </c>
      <c r="B23" s="10" t="s">
        <v>48</v>
      </c>
      <c r="C23" s="10" t="e">
        <f>+VLOOKUP(Sorties!B23,#REF!,3,0)</f>
        <v>#REF!</v>
      </c>
      <c r="D23" s="20">
        <v>1</v>
      </c>
    </row>
    <row r="24" spans="1:4" x14ac:dyDescent="0.25">
      <c r="A24" s="22">
        <v>45111</v>
      </c>
      <c r="B24" s="4" t="s">
        <v>20</v>
      </c>
      <c r="C24" s="10" t="e">
        <f>+VLOOKUP(Sorties!B24,#REF!,3,0)</f>
        <v>#REF!</v>
      </c>
      <c r="D24" s="20">
        <v>1</v>
      </c>
    </row>
    <row r="25" spans="1:4" x14ac:dyDescent="0.25">
      <c r="A25" s="22">
        <v>45111</v>
      </c>
      <c r="B25" s="10" t="s">
        <v>25</v>
      </c>
      <c r="C25" s="10" t="e">
        <f>+VLOOKUP(Sorties!B25,#REF!,3,0)</f>
        <v>#REF!</v>
      </c>
      <c r="D25" s="20">
        <v>1</v>
      </c>
    </row>
    <row r="26" spans="1:4" x14ac:dyDescent="0.25">
      <c r="A26" s="22">
        <v>45117</v>
      </c>
      <c r="B26" s="25" t="s">
        <v>20</v>
      </c>
      <c r="C26" s="10" t="e">
        <f>+VLOOKUP(Sorties!B26,#REF!,3,0)</f>
        <v>#REF!</v>
      </c>
      <c r="D26" s="20">
        <v>3</v>
      </c>
    </row>
    <row r="27" spans="1:4" x14ac:dyDescent="0.25">
      <c r="A27" s="22">
        <v>45119</v>
      </c>
      <c r="B27" s="4" t="s">
        <v>20</v>
      </c>
      <c r="C27" s="10" t="e">
        <f>+VLOOKUP(Sorties!B27,#REF!,3,0)</f>
        <v>#REF!</v>
      </c>
      <c r="D27" s="20">
        <v>2</v>
      </c>
    </row>
    <row r="28" spans="1:4" x14ac:dyDescent="0.25">
      <c r="A28" s="22">
        <v>45119</v>
      </c>
      <c r="B28" s="10" t="s">
        <v>22</v>
      </c>
      <c r="C28" s="10" t="e">
        <f>+VLOOKUP(Sorties!B28,#REF!,3,0)</f>
        <v>#REF!</v>
      </c>
      <c r="D28" s="20">
        <v>2</v>
      </c>
    </row>
    <row r="29" spans="1:4" x14ac:dyDescent="0.25">
      <c r="A29" s="22">
        <v>45125</v>
      </c>
      <c r="B29" s="10" t="s">
        <v>22</v>
      </c>
      <c r="C29" s="10" t="e">
        <f>+VLOOKUP(Sorties!B29,#REF!,3,0)</f>
        <v>#REF!</v>
      </c>
      <c r="D29" s="20">
        <v>1</v>
      </c>
    </row>
    <row r="30" spans="1:4" x14ac:dyDescent="0.25">
      <c r="A30" s="22">
        <v>45142</v>
      </c>
      <c r="B30" s="10" t="s">
        <v>48</v>
      </c>
      <c r="C30" s="10" t="e">
        <f>+VLOOKUP(Sorties!B30,#REF!,3,0)</f>
        <v>#REF!</v>
      </c>
      <c r="D30" s="20">
        <v>1</v>
      </c>
    </row>
    <row r="31" spans="1:4" x14ac:dyDescent="0.25">
      <c r="A31" s="22">
        <v>45176</v>
      </c>
      <c r="B31" s="10" t="s">
        <v>17</v>
      </c>
      <c r="C31" s="10" t="e">
        <f>+VLOOKUP(Sorties!B31,#REF!,3,0)</f>
        <v>#REF!</v>
      </c>
      <c r="D31" s="20">
        <v>1</v>
      </c>
    </row>
    <row r="32" spans="1:4" x14ac:dyDescent="0.25">
      <c r="A32" s="22">
        <v>45176</v>
      </c>
      <c r="B32" s="10" t="s">
        <v>23</v>
      </c>
      <c r="C32" s="10" t="e">
        <f>+VLOOKUP(Sorties!B32,#REF!,3,0)</f>
        <v>#REF!</v>
      </c>
      <c r="D32" s="20">
        <v>1</v>
      </c>
    </row>
    <row r="33" spans="1:4" x14ac:dyDescent="0.25">
      <c r="A33" s="22">
        <v>45176</v>
      </c>
      <c r="B33" s="10" t="s">
        <v>25</v>
      </c>
      <c r="C33" s="10" t="e">
        <f>+VLOOKUP(Sorties!B33,#REF!,3,0)</f>
        <v>#REF!</v>
      </c>
      <c r="D33" s="20">
        <v>2</v>
      </c>
    </row>
    <row r="34" spans="1:4" x14ac:dyDescent="0.25">
      <c r="A34" s="22">
        <v>45176</v>
      </c>
      <c r="B34" s="10" t="s">
        <v>32</v>
      </c>
      <c r="C34" s="10" t="e">
        <f>+VLOOKUP(Sorties!B34,#REF!,3,0)</f>
        <v>#REF!</v>
      </c>
      <c r="D34" s="20">
        <v>1</v>
      </c>
    </row>
    <row r="35" spans="1:4" x14ac:dyDescent="0.25">
      <c r="A35" s="22">
        <v>45176</v>
      </c>
      <c r="B35" s="10" t="s">
        <v>31</v>
      </c>
      <c r="C35" s="10" t="e">
        <f>+VLOOKUP(Sorties!B35,#REF!,3,0)</f>
        <v>#REF!</v>
      </c>
      <c r="D35" s="20">
        <v>1</v>
      </c>
    </row>
    <row r="36" spans="1:4" x14ac:dyDescent="0.25">
      <c r="A36" s="22">
        <v>45176</v>
      </c>
      <c r="B36" s="10" t="s">
        <v>35</v>
      </c>
      <c r="C36" s="10" t="e">
        <f>+VLOOKUP(Sorties!B36,#REF!,3,0)</f>
        <v>#REF!</v>
      </c>
      <c r="D36" s="20">
        <v>2</v>
      </c>
    </row>
    <row r="37" spans="1:4" x14ac:dyDescent="0.25">
      <c r="A37" s="22">
        <v>45176</v>
      </c>
      <c r="B37" s="10" t="s">
        <v>48</v>
      </c>
      <c r="C37" s="10" t="e">
        <f>+VLOOKUP(Sorties!B37,#REF!,3,0)</f>
        <v>#REF!</v>
      </c>
      <c r="D37" s="20">
        <v>1</v>
      </c>
    </row>
    <row r="38" spans="1:4" x14ac:dyDescent="0.25">
      <c r="A38" s="22">
        <v>45177</v>
      </c>
      <c r="B38" s="10" t="s">
        <v>23</v>
      </c>
      <c r="C38" s="10" t="e">
        <f>+VLOOKUP(Sorties!B38,#REF!,3,0)</f>
        <v>#REF!</v>
      </c>
      <c r="D38" s="20">
        <v>1</v>
      </c>
    </row>
    <row r="39" spans="1:4" x14ac:dyDescent="0.25">
      <c r="A39" s="22">
        <v>45177</v>
      </c>
      <c r="B39" s="10" t="s">
        <v>20</v>
      </c>
      <c r="C39" s="10" t="e">
        <f>+VLOOKUP(Sorties!B39,#REF!,3,0)</f>
        <v>#REF!</v>
      </c>
      <c r="D39" s="20">
        <v>1</v>
      </c>
    </row>
    <row r="40" spans="1:4" x14ac:dyDescent="0.25">
      <c r="A40" s="22">
        <v>45182</v>
      </c>
      <c r="B40" s="10" t="s">
        <v>25</v>
      </c>
      <c r="C40" s="10" t="e">
        <f>+VLOOKUP(Sorties!B40,#REF!,3,0)</f>
        <v>#REF!</v>
      </c>
      <c r="D40" s="20">
        <v>1</v>
      </c>
    </row>
    <row r="41" spans="1:4" x14ac:dyDescent="0.25">
      <c r="A41" s="22">
        <v>45183</v>
      </c>
      <c r="B41" s="10" t="s">
        <v>25</v>
      </c>
      <c r="C41" s="10" t="e">
        <f>+VLOOKUP(Sorties!B41,#REF!,3,0)</f>
        <v>#REF!</v>
      </c>
      <c r="D41" s="20">
        <v>1</v>
      </c>
    </row>
    <row r="42" spans="1:4" x14ac:dyDescent="0.25">
      <c r="A42" s="22">
        <v>45195</v>
      </c>
      <c r="B42" s="10" t="s">
        <v>22</v>
      </c>
      <c r="C42" s="10" t="e">
        <f>+VLOOKUP(Sorties!B42,#REF!,3,0)</f>
        <v>#REF!</v>
      </c>
      <c r="D42" s="20">
        <v>1</v>
      </c>
    </row>
    <row r="43" spans="1:4" x14ac:dyDescent="0.25">
      <c r="A43" s="22">
        <v>45201</v>
      </c>
      <c r="B43" s="10" t="s">
        <v>25</v>
      </c>
      <c r="C43" s="10" t="e">
        <f>+VLOOKUP(Sorties!B43,#REF!,3,0)</f>
        <v>#REF!</v>
      </c>
      <c r="D43" s="20">
        <v>2</v>
      </c>
    </row>
    <row r="44" spans="1:4" x14ac:dyDescent="0.25">
      <c r="A44" s="22">
        <v>45202</v>
      </c>
      <c r="B44" s="10" t="s">
        <v>25</v>
      </c>
      <c r="C44" s="10" t="e">
        <f>+VLOOKUP(Sorties!B44,#REF!,3,0)</f>
        <v>#REF!</v>
      </c>
      <c r="D44" s="20">
        <v>1</v>
      </c>
    </row>
    <row r="45" spans="1:4" x14ac:dyDescent="0.25">
      <c r="A45" s="22">
        <v>45209</v>
      </c>
      <c r="B45" s="10" t="s">
        <v>46</v>
      </c>
      <c r="C45" s="10" t="e">
        <f>+VLOOKUP(Sorties!B45,#REF!,3,0)</f>
        <v>#REF!</v>
      </c>
      <c r="D45" s="20">
        <v>1</v>
      </c>
    </row>
    <row r="46" spans="1:4" x14ac:dyDescent="0.25">
      <c r="A46" s="22">
        <v>45210</v>
      </c>
      <c r="B46" s="10" t="s">
        <v>23</v>
      </c>
      <c r="C46" s="10" t="e">
        <f>+VLOOKUP(Sorties!B46,#REF!,3,0)</f>
        <v>#REF!</v>
      </c>
      <c r="D46" s="20">
        <v>1</v>
      </c>
    </row>
    <row r="47" spans="1:4" x14ac:dyDescent="0.25">
      <c r="A47" s="22">
        <v>45215</v>
      </c>
      <c r="B47" s="10" t="s">
        <v>20</v>
      </c>
      <c r="C47" s="10" t="e">
        <f>+VLOOKUP(Sorties!B47,#REF!,3,0)</f>
        <v>#REF!</v>
      </c>
      <c r="D47" s="20">
        <v>1</v>
      </c>
    </row>
    <row r="48" spans="1:4" x14ac:dyDescent="0.25">
      <c r="A48" s="22">
        <v>45217</v>
      </c>
      <c r="B48" s="10" t="s">
        <v>20</v>
      </c>
      <c r="C48" s="10" t="e">
        <f>+VLOOKUP(Sorties!B48,#REF!,3,0)</f>
        <v>#REF!</v>
      </c>
      <c r="D48" s="20">
        <v>1</v>
      </c>
    </row>
    <row r="49" spans="1:4" x14ac:dyDescent="0.25">
      <c r="A49" s="22">
        <v>45238</v>
      </c>
      <c r="B49" s="10" t="s">
        <v>22</v>
      </c>
      <c r="C49" s="10" t="e">
        <f>+VLOOKUP(Sorties!B49,#REF!,3,0)</f>
        <v>#REF!</v>
      </c>
      <c r="D49" s="20">
        <v>1</v>
      </c>
    </row>
    <row r="50" spans="1:4" x14ac:dyDescent="0.25">
      <c r="A50" s="22">
        <v>45243</v>
      </c>
      <c r="B50" s="4" t="s">
        <v>20</v>
      </c>
      <c r="C50" s="10" t="e">
        <f>+VLOOKUP(Sorties!B50,#REF!,3,0)</f>
        <v>#REF!</v>
      </c>
      <c r="D50" s="20">
        <v>1</v>
      </c>
    </row>
    <row r="51" spans="1:4" x14ac:dyDescent="0.25">
      <c r="A51" s="22">
        <v>45244</v>
      </c>
      <c r="B51" s="10" t="s">
        <v>23</v>
      </c>
      <c r="C51" s="10" t="e">
        <f>+VLOOKUP(Sorties!B51,#REF!,3,0)</f>
        <v>#REF!</v>
      </c>
      <c r="D51" s="20">
        <v>5</v>
      </c>
    </row>
    <row r="52" spans="1:4" x14ac:dyDescent="0.25">
      <c r="A52" s="22">
        <v>45253</v>
      </c>
      <c r="B52" s="10" t="s">
        <v>25</v>
      </c>
      <c r="C52" s="10" t="e">
        <f>+VLOOKUP(Sorties!B52,#REF!,3,0)</f>
        <v>#REF!</v>
      </c>
      <c r="D52" s="20">
        <v>2</v>
      </c>
    </row>
    <row r="53" spans="1:4" x14ac:dyDescent="0.25">
      <c r="A53" s="22">
        <v>45258</v>
      </c>
      <c r="B53" s="10" t="s">
        <v>22</v>
      </c>
      <c r="C53" s="10" t="e">
        <f>+VLOOKUP(Sorties!B53,#REF!,3,0)</f>
        <v>#REF!</v>
      </c>
      <c r="D53" s="20">
        <v>1</v>
      </c>
    </row>
    <row r="54" spans="1:4" x14ac:dyDescent="0.25">
      <c r="A54" s="22">
        <v>45258</v>
      </c>
      <c r="B54" s="10" t="s">
        <v>25</v>
      </c>
      <c r="C54" s="10" t="e">
        <f>+VLOOKUP(Sorties!B54,#REF!,3,0)</f>
        <v>#REF!</v>
      </c>
      <c r="D54" s="20">
        <v>2</v>
      </c>
    </row>
    <row r="55" spans="1:4" x14ac:dyDescent="0.25">
      <c r="A55" s="22">
        <v>45259</v>
      </c>
      <c r="B55" s="11" t="s">
        <v>16</v>
      </c>
      <c r="C55" s="10" t="e">
        <f>+VLOOKUP(Sorties!B55,#REF!,3,0)</f>
        <v>#REF!</v>
      </c>
      <c r="D55" s="20">
        <v>1</v>
      </c>
    </row>
    <row r="56" spans="1:4" x14ac:dyDescent="0.25">
      <c r="A56" s="22">
        <v>45267</v>
      </c>
      <c r="B56" s="4" t="s">
        <v>20</v>
      </c>
      <c r="C56" s="10" t="e">
        <f>+VLOOKUP(Sorties!B56,#REF!,3,0)</f>
        <v>#REF!</v>
      </c>
      <c r="D56" s="20">
        <v>1</v>
      </c>
    </row>
    <row r="57" spans="1:4" x14ac:dyDescent="0.25">
      <c r="A57" s="22">
        <v>45271</v>
      </c>
      <c r="B57" s="10" t="s">
        <v>22</v>
      </c>
      <c r="C57" s="10" t="e">
        <f>+VLOOKUP(Sorties!B57,#REF!,3,0)</f>
        <v>#REF!</v>
      </c>
      <c r="D57" s="20">
        <v>1</v>
      </c>
    </row>
    <row r="58" spans="1:4" x14ac:dyDescent="0.25">
      <c r="A58" s="22">
        <v>45282</v>
      </c>
      <c r="B58" s="10" t="s">
        <v>29</v>
      </c>
      <c r="C58" s="10" t="e">
        <f>+VLOOKUP(Sorties!B58,#REF!,3,0)</f>
        <v>#REF!</v>
      </c>
      <c r="D58" s="20">
        <v>1</v>
      </c>
    </row>
    <row r="59" spans="1:4" x14ac:dyDescent="0.25">
      <c r="A59" s="22">
        <v>45295</v>
      </c>
      <c r="B59" s="10" t="s">
        <v>25</v>
      </c>
      <c r="C59" s="10" t="e">
        <f>+VLOOKUP(Sorties!B59,#REF!,3,0)</f>
        <v>#REF!</v>
      </c>
      <c r="D59" s="20">
        <v>1</v>
      </c>
    </row>
    <row r="60" spans="1:4" x14ac:dyDescent="0.25">
      <c r="A60" s="22">
        <v>45310</v>
      </c>
      <c r="B60" s="10" t="s">
        <v>20</v>
      </c>
      <c r="C60" s="10" t="e">
        <f>+VLOOKUP(Sorties!B60,#REF!,3,0)</f>
        <v>#REF!</v>
      </c>
      <c r="D60" s="20">
        <v>2</v>
      </c>
    </row>
    <row r="61" spans="1:4" x14ac:dyDescent="0.25">
      <c r="A61" s="22">
        <v>45314</v>
      </c>
      <c r="B61" s="10" t="s">
        <v>20</v>
      </c>
      <c r="C61" s="10" t="e">
        <f>+VLOOKUP(Sorties!B61,#REF!,3,0)</f>
        <v>#REF!</v>
      </c>
      <c r="D61" s="20">
        <v>2</v>
      </c>
    </row>
    <row r="62" spans="1:4" x14ac:dyDescent="0.25">
      <c r="A62" s="22">
        <v>45323</v>
      </c>
      <c r="B62" s="10" t="s">
        <v>20</v>
      </c>
      <c r="C62" s="10" t="e">
        <f>+VLOOKUP(Sorties!B62,#REF!,3,0)</f>
        <v>#REF!</v>
      </c>
      <c r="D62" s="20">
        <v>1</v>
      </c>
    </row>
    <row r="63" spans="1:4" x14ac:dyDescent="0.25">
      <c r="A63" s="22">
        <v>45336</v>
      </c>
      <c r="B63" s="4" t="s">
        <v>20</v>
      </c>
      <c r="C63" s="10" t="e">
        <f>+VLOOKUP(Sorties!B63,#REF!,3,0)</f>
        <v>#REF!</v>
      </c>
      <c r="D63" s="20">
        <v>1</v>
      </c>
    </row>
    <row r="64" spans="1:4" x14ac:dyDescent="0.25">
      <c r="A64" s="22">
        <v>45336</v>
      </c>
      <c r="B64" s="10" t="s">
        <v>25</v>
      </c>
      <c r="C64" s="10" t="e">
        <f>+VLOOKUP(Sorties!B64,#REF!,3,0)</f>
        <v>#REF!</v>
      </c>
      <c r="D64" s="20">
        <v>1</v>
      </c>
    </row>
    <row r="65" spans="1:4" x14ac:dyDescent="0.25">
      <c r="A65" s="22">
        <v>45348</v>
      </c>
      <c r="B65" s="4" t="s">
        <v>20</v>
      </c>
      <c r="C65" s="10" t="e">
        <f>+VLOOKUP(Sorties!B65,#REF!,3,0)</f>
        <v>#REF!</v>
      </c>
      <c r="D65" s="20">
        <v>1</v>
      </c>
    </row>
    <row r="66" spans="1:4" x14ac:dyDescent="0.25">
      <c r="A66" s="22">
        <v>45348</v>
      </c>
      <c r="B66" s="10" t="s">
        <v>23</v>
      </c>
      <c r="C66" s="10" t="e">
        <f>+VLOOKUP(Sorties!B66,#REF!,3,0)</f>
        <v>#REF!</v>
      </c>
      <c r="D66" s="20">
        <v>1</v>
      </c>
    </row>
    <row r="67" spans="1:4" x14ac:dyDescent="0.25">
      <c r="A67" s="22">
        <v>45348</v>
      </c>
      <c r="B67" s="10" t="s">
        <v>45</v>
      </c>
      <c r="C67" s="10" t="e">
        <f>+VLOOKUP(Sorties!B67,#REF!,3,0)</f>
        <v>#REF!</v>
      </c>
      <c r="D67" s="20">
        <v>1</v>
      </c>
    </row>
    <row r="68" spans="1:4" x14ac:dyDescent="0.25">
      <c r="A68" s="22">
        <v>45351</v>
      </c>
      <c r="B68" s="10" t="s">
        <v>23</v>
      </c>
      <c r="C68" s="10" t="e">
        <f>+VLOOKUP(Sorties!B68,#REF!,3,0)</f>
        <v>#REF!</v>
      </c>
      <c r="D68" s="20">
        <v>1</v>
      </c>
    </row>
    <row r="69" spans="1:4" x14ac:dyDescent="0.25">
      <c r="A69" s="22">
        <v>45351</v>
      </c>
      <c r="B69" s="10" t="s">
        <v>46</v>
      </c>
      <c r="C69" s="10" t="e">
        <f>+VLOOKUP(Sorties!B69,#REF!,3,0)</f>
        <v>#REF!</v>
      </c>
      <c r="D69" s="20">
        <v>1</v>
      </c>
    </row>
    <row r="70" spans="1:4" x14ac:dyDescent="0.25">
      <c r="A70" s="22">
        <v>45355</v>
      </c>
      <c r="B70" s="10" t="s">
        <v>22</v>
      </c>
      <c r="C70" s="10" t="e">
        <f>+VLOOKUP(Sorties!B70,#REF!,3,0)</f>
        <v>#REF!</v>
      </c>
      <c r="D70" s="20">
        <v>1</v>
      </c>
    </row>
    <row r="71" spans="1:4" x14ac:dyDescent="0.25">
      <c r="A71" s="22">
        <v>45359</v>
      </c>
      <c r="B71" s="10" t="s">
        <v>50</v>
      </c>
      <c r="C71" s="10" t="e">
        <f>+VLOOKUP(Sorties!B71,#REF!,3,0)</f>
        <v>#REF!</v>
      </c>
      <c r="D71" s="20">
        <v>1</v>
      </c>
    </row>
    <row r="72" spans="1:4" x14ac:dyDescent="0.25">
      <c r="A72" s="22">
        <v>45362</v>
      </c>
      <c r="B72" s="4" t="s">
        <v>20</v>
      </c>
      <c r="C72" s="10" t="e">
        <f>+VLOOKUP(Sorties!B72,#REF!,3,0)</f>
        <v>#REF!</v>
      </c>
      <c r="D72" s="20">
        <v>1</v>
      </c>
    </row>
    <row r="73" spans="1:4" x14ac:dyDescent="0.25">
      <c r="A73" s="22">
        <v>45363</v>
      </c>
      <c r="B73" s="11" t="s">
        <v>16</v>
      </c>
      <c r="C73" s="10" t="e">
        <f>+VLOOKUP(Sorties!B73,#REF!,3,0)</f>
        <v>#REF!</v>
      </c>
      <c r="D73" s="20">
        <v>1</v>
      </c>
    </row>
    <row r="74" spans="1:4" x14ac:dyDescent="0.25">
      <c r="A74" s="22">
        <v>45364</v>
      </c>
      <c r="B74" s="11" t="s">
        <v>20</v>
      </c>
      <c r="C74" s="10" t="e">
        <f>+VLOOKUP(Sorties!B74,#REF!,3,0)</f>
        <v>#REF!</v>
      </c>
      <c r="D74" s="20">
        <v>3</v>
      </c>
    </row>
    <row r="75" spans="1:4" x14ac:dyDescent="0.25">
      <c r="A75" s="22">
        <v>45374</v>
      </c>
      <c r="B75" s="4" t="s">
        <v>20</v>
      </c>
      <c r="C75" s="10" t="e">
        <f>+VLOOKUP(Sorties!B75,#REF!,3,0)</f>
        <v>#REF!</v>
      </c>
      <c r="D75" s="20">
        <v>1</v>
      </c>
    </row>
    <row r="76" spans="1:4" x14ac:dyDescent="0.25">
      <c r="A76" s="22">
        <v>45374</v>
      </c>
      <c r="B76" s="10" t="s">
        <v>23</v>
      </c>
      <c r="C76" s="10" t="e">
        <f>+VLOOKUP(Sorties!B76,#REF!,3,0)</f>
        <v>#REF!</v>
      </c>
      <c r="D76" s="20">
        <v>2</v>
      </c>
    </row>
    <row r="77" spans="1:4" x14ac:dyDescent="0.25">
      <c r="A77" s="22">
        <v>45377</v>
      </c>
      <c r="B77" s="10" t="s">
        <v>25</v>
      </c>
      <c r="C77" s="10" t="e">
        <f>+VLOOKUP(Sorties!B77,#REF!,3,0)</f>
        <v>#REF!</v>
      </c>
      <c r="D77" s="20">
        <v>1</v>
      </c>
    </row>
    <row r="78" spans="1:4" x14ac:dyDescent="0.25">
      <c r="A78" s="22">
        <v>45425</v>
      </c>
      <c r="B78" s="10" t="s">
        <v>50</v>
      </c>
      <c r="C78" s="10" t="e">
        <f>+VLOOKUP(Sorties!B78,#REF!,3,0)</f>
        <v>#REF!</v>
      </c>
      <c r="D78" s="20">
        <v>1</v>
      </c>
    </row>
    <row r="79" spans="1:4" x14ac:dyDescent="0.25">
      <c r="A79" s="22">
        <v>45425</v>
      </c>
      <c r="B79" s="10" t="s">
        <v>23</v>
      </c>
      <c r="C79" s="10" t="e">
        <f>+VLOOKUP(Sorties!B79,#REF!,3,0)</f>
        <v>#REF!</v>
      </c>
      <c r="D79" s="20">
        <v>1</v>
      </c>
    </row>
    <row r="80" spans="1:4" x14ac:dyDescent="0.25">
      <c r="A80" s="22">
        <v>45442</v>
      </c>
      <c r="B80" s="10" t="s">
        <v>22</v>
      </c>
      <c r="C80" s="10" t="e">
        <f>+VLOOKUP(Sorties!B80,#REF!,3,0)</f>
        <v>#REF!</v>
      </c>
      <c r="D80" s="20">
        <v>1</v>
      </c>
    </row>
    <row r="81" spans="1:4" x14ac:dyDescent="0.25">
      <c r="A81" s="22">
        <v>45442</v>
      </c>
      <c r="B81" s="10" t="s">
        <v>23</v>
      </c>
      <c r="C81" s="10" t="e">
        <f>+VLOOKUP(Sorties!B81,#REF!,3,0)</f>
        <v>#REF!</v>
      </c>
      <c r="D81" s="20">
        <v>1</v>
      </c>
    </row>
    <row r="82" spans="1:4" x14ac:dyDescent="0.25">
      <c r="A82" s="22">
        <v>45454</v>
      </c>
      <c r="B82" s="10" t="s">
        <v>29</v>
      </c>
      <c r="C82" s="10" t="e">
        <f>+VLOOKUP(Sorties!B82,#REF!,3,0)</f>
        <v>#REF!</v>
      </c>
      <c r="D82" s="20">
        <v>1</v>
      </c>
    </row>
    <row r="83" spans="1:4" x14ac:dyDescent="0.25">
      <c r="A83" s="22">
        <v>45454</v>
      </c>
      <c r="B83" s="10" t="s">
        <v>18</v>
      </c>
      <c r="C83" s="10" t="e">
        <f>+VLOOKUP(Sorties!B83,#REF!,3,0)</f>
        <v>#REF!</v>
      </c>
      <c r="D83" s="26">
        <v>2</v>
      </c>
    </row>
    <row r="84" spans="1:4" x14ac:dyDescent="0.25">
      <c r="A84" s="22">
        <v>45454</v>
      </c>
      <c r="B84" s="10" t="s">
        <v>17</v>
      </c>
      <c r="C84" s="10" t="e">
        <f>+VLOOKUP(Sorties!B84,#REF!,3,0)</f>
        <v>#REF!</v>
      </c>
      <c r="D84" s="26">
        <v>2</v>
      </c>
    </row>
    <row r="85" spans="1:4" x14ac:dyDescent="0.25">
      <c r="A85" s="22">
        <v>45454</v>
      </c>
      <c r="B85" s="10" t="s">
        <v>19</v>
      </c>
      <c r="C85" s="10" t="e">
        <f>+VLOOKUP(Sorties!B85,#REF!,3,0)</f>
        <v>#REF!</v>
      </c>
      <c r="D85" s="26">
        <v>2</v>
      </c>
    </row>
    <row r="86" spans="1:4" x14ac:dyDescent="0.25">
      <c r="A86" s="22">
        <v>45454</v>
      </c>
      <c r="B86" s="9" t="s">
        <v>43</v>
      </c>
      <c r="C86" s="10" t="e">
        <f>+VLOOKUP(Sorties!B86,#REF!,3,0)</f>
        <v>#REF!</v>
      </c>
      <c r="D86" s="26">
        <v>1</v>
      </c>
    </row>
    <row r="87" spans="1:4" x14ac:dyDescent="0.25">
      <c r="A87" s="22">
        <v>45454</v>
      </c>
      <c r="B87" s="10" t="s">
        <v>44</v>
      </c>
      <c r="C87" s="10" t="e">
        <f>+VLOOKUP(Sorties!B87,#REF!,3,0)</f>
        <v>#REF!</v>
      </c>
      <c r="D87" s="26">
        <v>2</v>
      </c>
    </row>
    <row r="88" spans="1:4" x14ac:dyDescent="0.25">
      <c r="A88" s="22">
        <v>45454</v>
      </c>
      <c r="B88" s="10" t="s">
        <v>22</v>
      </c>
      <c r="C88" s="10" t="e">
        <f>+VLOOKUP(Sorties!B88,#REF!,3,0)</f>
        <v>#REF!</v>
      </c>
      <c r="D88" s="20">
        <v>8</v>
      </c>
    </row>
    <row r="89" spans="1:4" x14ac:dyDescent="0.25">
      <c r="A89" s="22">
        <v>45454</v>
      </c>
      <c r="B89" s="10" t="s">
        <v>25</v>
      </c>
      <c r="C89" s="10" t="e">
        <f>+VLOOKUP(Sorties!B89,#REF!,3,0)</f>
        <v>#REF!</v>
      </c>
      <c r="D89" s="20">
        <v>4</v>
      </c>
    </row>
    <row r="90" spans="1:4" x14ac:dyDescent="0.25">
      <c r="A90" s="22">
        <v>45454</v>
      </c>
      <c r="B90" s="10" t="s">
        <v>20</v>
      </c>
      <c r="C90" s="10" t="e">
        <f>+VLOOKUP(Sorties!B90,#REF!,3,0)</f>
        <v>#REF!</v>
      </c>
      <c r="D90" s="20">
        <v>7</v>
      </c>
    </row>
    <row r="91" spans="1:4" x14ac:dyDescent="0.25">
      <c r="A91" s="22">
        <v>45454</v>
      </c>
      <c r="B91" s="10" t="s">
        <v>17</v>
      </c>
      <c r="C91" s="10" t="e">
        <f>+VLOOKUP(Sorties!B91,#REF!,3,0)</f>
        <v>#REF!</v>
      </c>
      <c r="D91" s="20">
        <v>2</v>
      </c>
    </row>
    <row r="92" spans="1:4" x14ac:dyDescent="0.25">
      <c r="A92" s="22">
        <v>45454</v>
      </c>
      <c r="B92" s="10" t="s">
        <v>22</v>
      </c>
      <c r="C92" s="10" t="e">
        <f>+VLOOKUP(Sorties!B92,#REF!,3,0)</f>
        <v>#REF!</v>
      </c>
      <c r="D92" s="20">
        <v>4</v>
      </c>
    </row>
    <row r="93" spans="1:4" x14ac:dyDescent="0.25">
      <c r="A93" s="22">
        <v>45454</v>
      </c>
      <c r="B93" s="10" t="s">
        <v>50</v>
      </c>
      <c r="C93" s="10" t="e">
        <f>+VLOOKUP(Sorties!B93,#REF!,3,0)</f>
        <v>#REF!</v>
      </c>
      <c r="D93" s="20">
        <v>1</v>
      </c>
    </row>
    <row r="94" spans="1:4" x14ac:dyDescent="0.25">
      <c r="A94" s="22">
        <v>45454</v>
      </c>
      <c r="B94" s="10" t="s">
        <v>48</v>
      </c>
      <c r="C94" s="10" t="e">
        <f>+VLOOKUP(Sorties!B94,#REF!,3,0)</f>
        <v>#REF!</v>
      </c>
      <c r="D94" s="20">
        <v>4</v>
      </c>
    </row>
    <row r="95" spans="1:4" x14ac:dyDescent="0.25">
      <c r="A95" s="22">
        <v>45454</v>
      </c>
      <c r="B95" s="10" t="s">
        <v>18</v>
      </c>
      <c r="C95" s="10" t="e">
        <f>+VLOOKUP(Sorties!B95,#REF!,3,0)</f>
        <v>#REF!</v>
      </c>
      <c r="D95" s="20">
        <v>2</v>
      </c>
    </row>
    <row r="96" spans="1:4" x14ac:dyDescent="0.25">
      <c r="A96" s="22">
        <v>45454</v>
      </c>
      <c r="B96" s="10" t="s">
        <v>19</v>
      </c>
      <c r="C96" s="10" t="e">
        <f>+VLOOKUP(Sorties!B96,#REF!,3,0)</f>
        <v>#REF!</v>
      </c>
      <c r="D96" s="20">
        <v>1</v>
      </c>
    </row>
    <row r="97" spans="1:4" x14ac:dyDescent="0.25">
      <c r="A97" s="22">
        <v>45454</v>
      </c>
      <c r="B97" s="10" t="s">
        <v>40</v>
      </c>
      <c r="C97" s="10" t="e">
        <f>+VLOOKUP(Sorties!B97,#REF!,3,0)</f>
        <v>#REF!</v>
      </c>
      <c r="D97" s="20">
        <v>2</v>
      </c>
    </row>
    <row r="98" spans="1:4" x14ac:dyDescent="0.25">
      <c r="A98" s="22">
        <v>45476</v>
      </c>
      <c r="B98" s="11" t="s">
        <v>16</v>
      </c>
      <c r="C98" s="10" t="e">
        <f>+VLOOKUP(Sorties!B98,#REF!,3,0)</f>
        <v>#REF!</v>
      </c>
      <c r="D98" s="20">
        <v>1</v>
      </c>
    </row>
    <row r="99" spans="1:4" x14ac:dyDescent="0.25">
      <c r="A99" s="22">
        <v>45476</v>
      </c>
      <c r="B99" s="10" t="s">
        <v>20</v>
      </c>
      <c r="C99" s="10" t="e">
        <f>+VLOOKUP(Sorties!B99,#REF!,3,0)</f>
        <v>#REF!</v>
      </c>
      <c r="D99" s="20">
        <v>1</v>
      </c>
    </row>
    <row r="100" spans="1:4" x14ac:dyDescent="0.25">
      <c r="A100" s="22">
        <v>45478</v>
      </c>
      <c r="B100" s="10" t="s">
        <v>22</v>
      </c>
      <c r="C100" s="10" t="e">
        <f>+VLOOKUP(Sorties!B100,#REF!,3,0)</f>
        <v>#REF!</v>
      </c>
      <c r="D100" s="20">
        <v>1</v>
      </c>
    </row>
    <row r="101" spans="1:4" x14ac:dyDescent="0.25">
      <c r="A101" s="22">
        <v>45478</v>
      </c>
      <c r="B101" s="10" t="s">
        <v>25</v>
      </c>
      <c r="C101" s="10" t="e">
        <f>+VLOOKUP(Sorties!B101,#REF!,3,0)</f>
        <v>#REF!</v>
      </c>
      <c r="D101" s="20">
        <v>1</v>
      </c>
    </row>
    <row r="102" spans="1:4" x14ac:dyDescent="0.25">
      <c r="A102" s="22">
        <v>45484</v>
      </c>
      <c r="B102" s="10" t="s">
        <v>47</v>
      </c>
      <c r="C102" s="10" t="e">
        <f>+VLOOKUP(Sorties!B102,#REF!,3,0)</f>
        <v>#REF!</v>
      </c>
      <c r="D102" s="20">
        <v>1</v>
      </c>
    </row>
    <row r="103" spans="1:4" x14ac:dyDescent="0.25">
      <c r="A103" s="22">
        <v>45491</v>
      </c>
      <c r="B103" s="10" t="s">
        <v>20</v>
      </c>
      <c r="C103" s="10" t="e">
        <f>+VLOOKUP(Sorties!B103,#REF!,3,0)</f>
        <v>#REF!</v>
      </c>
      <c r="D103" s="20">
        <v>1</v>
      </c>
    </row>
    <row r="104" spans="1:4" x14ac:dyDescent="0.25">
      <c r="A104" s="22">
        <v>45497</v>
      </c>
      <c r="B104" s="4" t="s">
        <v>20</v>
      </c>
      <c r="C104" s="10" t="e">
        <f>+VLOOKUP(Sorties!B104,#REF!,3,0)</f>
        <v>#REF!</v>
      </c>
      <c r="D104" s="20">
        <v>1</v>
      </c>
    </row>
    <row r="105" spans="1:4" x14ac:dyDescent="0.25">
      <c r="A105" s="22">
        <v>45497</v>
      </c>
      <c r="B105" s="10" t="s">
        <v>23</v>
      </c>
      <c r="C105" s="10" t="e">
        <f>+VLOOKUP(Sorties!B105,#REF!,3,0)</f>
        <v>#REF!</v>
      </c>
      <c r="D105" s="20">
        <v>1</v>
      </c>
    </row>
    <row r="106" spans="1:4" x14ac:dyDescent="0.25">
      <c r="A106" s="22">
        <v>45497</v>
      </c>
      <c r="B106" s="10" t="s">
        <v>25</v>
      </c>
      <c r="C106" s="10" t="e">
        <f>+VLOOKUP(Sorties!B106,#REF!,3,0)</f>
        <v>#REF!</v>
      </c>
      <c r="D106" s="20">
        <v>1</v>
      </c>
    </row>
    <row r="107" spans="1:4" x14ac:dyDescent="0.25">
      <c r="A107" s="22">
        <v>45530</v>
      </c>
      <c r="B107" s="10" t="s">
        <v>23</v>
      </c>
      <c r="C107" s="10" t="e">
        <f>+VLOOKUP(Sorties!B107,#REF!,3,0)</f>
        <v>#REF!</v>
      </c>
      <c r="D107" s="20">
        <v>1</v>
      </c>
    </row>
    <row r="108" spans="1:4" x14ac:dyDescent="0.25">
      <c r="A108" s="22">
        <v>45540</v>
      </c>
      <c r="B108" s="10" t="s">
        <v>25</v>
      </c>
      <c r="C108" s="10" t="e">
        <f>+VLOOKUP(Sorties!B108,#REF!,3,0)</f>
        <v>#REF!</v>
      </c>
      <c r="D108" s="20">
        <v>1</v>
      </c>
    </row>
    <row r="109" spans="1:4" x14ac:dyDescent="0.25">
      <c r="A109" s="22">
        <v>45559</v>
      </c>
      <c r="B109" s="10" t="s">
        <v>52</v>
      </c>
      <c r="C109" s="10" t="e">
        <f>+VLOOKUP(Sorties!B109,#REF!,3,0)</f>
        <v>#REF!</v>
      </c>
      <c r="D109" s="20">
        <v>1</v>
      </c>
    </row>
    <row r="110" spans="1:4" x14ac:dyDescent="0.25">
      <c r="A110" s="22">
        <v>45565</v>
      </c>
      <c r="B110" s="10" t="s">
        <v>44</v>
      </c>
      <c r="C110" s="10" t="e">
        <f>+VLOOKUP(Sorties!B110,#REF!,3,0)</f>
        <v>#REF!</v>
      </c>
      <c r="D110" s="20">
        <v>1</v>
      </c>
    </row>
    <row r="111" spans="1:4" x14ac:dyDescent="0.25">
      <c r="A111" s="22">
        <v>45566</v>
      </c>
      <c r="B111" s="10" t="s">
        <v>25</v>
      </c>
      <c r="C111" s="10" t="e">
        <f>+VLOOKUP(Sorties!B111,#REF!,3,0)</f>
        <v>#REF!</v>
      </c>
      <c r="D111" s="20">
        <v>1</v>
      </c>
    </row>
    <row r="112" spans="1:4" x14ac:dyDescent="0.25">
      <c r="A112" s="22">
        <v>45580</v>
      </c>
      <c r="B112" s="10" t="s">
        <v>45</v>
      </c>
      <c r="C112" s="10" t="e">
        <f>+VLOOKUP(Sorties!B112,#REF!,3,0)</f>
        <v>#REF!</v>
      </c>
      <c r="D112" s="20">
        <v>1</v>
      </c>
    </row>
    <row r="113" spans="1:4" x14ac:dyDescent="0.25">
      <c r="A113" s="22">
        <v>45580</v>
      </c>
      <c r="B113" s="10" t="s">
        <v>46</v>
      </c>
      <c r="C113" s="10" t="e">
        <f>+VLOOKUP(Sorties!B113,#REF!,3,0)</f>
        <v>#REF!</v>
      </c>
      <c r="D113" s="20">
        <v>1</v>
      </c>
    </row>
    <row r="114" spans="1:4" x14ac:dyDescent="0.25">
      <c r="A114" s="22">
        <v>45590</v>
      </c>
      <c r="B114" s="10" t="s">
        <v>17</v>
      </c>
      <c r="C114" s="10" t="e">
        <f>+VLOOKUP(Sorties!B114,#REF!,3,0)</f>
        <v>#REF!</v>
      </c>
      <c r="D114" s="20">
        <v>1</v>
      </c>
    </row>
    <row r="115" spans="1:4" x14ac:dyDescent="0.25">
      <c r="A115" s="22">
        <v>45590</v>
      </c>
      <c r="B115" s="10" t="s">
        <v>18</v>
      </c>
      <c r="C115" s="10" t="e">
        <f>+VLOOKUP(Sorties!B115,#REF!,3,0)</f>
        <v>#REF!</v>
      </c>
      <c r="D115" s="20">
        <v>1</v>
      </c>
    </row>
    <row r="116" spans="1:4" x14ac:dyDescent="0.25">
      <c r="A116" s="22">
        <v>45609</v>
      </c>
      <c r="B116" s="10" t="s">
        <v>48</v>
      </c>
      <c r="C116" s="10" t="e">
        <f>+VLOOKUP(Sorties!B116,#REF!,3,0)</f>
        <v>#REF!</v>
      </c>
      <c r="D116" s="20">
        <v>1</v>
      </c>
    </row>
    <row r="117" spans="1:4" x14ac:dyDescent="0.25">
      <c r="A117" s="22">
        <v>45618</v>
      </c>
      <c r="B117" s="10" t="s">
        <v>19</v>
      </c>
      <c r="C117" s="10" t="e">
        <f>+VLOOKUP(Sorties!B117,#REF!,3,0)</f>
        <v>#REF!</v>
      </c>
      <c r="D117" s="20">
        <v>1</v>
      </c>
    </row>
    <row r="118" spans="1:4" x14ac:dyDescent="0.25">
      <c r="A118" s="22">
        <v>45619</v>
      </c>
      <c r="B118" s="10" t="s">
        <v>25</v>
      </c>
      <c r="C118" s="10" t="e">
        <f>+VLOOKUP(Sorties!B118,#REF!,3,0)</f>
        <v>#REF!</v>
      </c>
      <c r="D118" s="20">
        <v>1</v>
      </c>
    </row>
    <row r="119" spans="1:4" x14ac:dyDescent="0.25">
      <c r="A119" s="22">
        <v>45635</v>
      </c>
      <c r="B119" s="10" t="s">
        <v>22</v>
      </c>
      <c r="C119" s="10" t="e">
        <f>+VLOOKUP(Sorties!B119,#REF!,3,0)</f>
        <v>#REF!</v>
      </c>
      <c r="D119" s="26">
        <v>1</v>
      </c>
    </row>
    <row r="120" spans="1:4" x14ac:dyDescent="0.25">
      <c r="A120" s="22">
        <v>45635</v>
      </c>
      <c r="B120" s="9" t="s">
        <v>43</v>
      </c>
      <c r="C120" s="10" t="e">
        <f>+VLOOKUP(Sorties!B120,#REF!,3,0)</f>
        <v>#REF!</v>
      </c>
      <c r="D120" s="26">
        <v>2</v>
      </c>
    </row>
    <row r="121" spans="1:4" x14ac:dyDescent="0.25">
      <c r="A121" s="22">
        <v>45635</v>
      </c>
      <c r="B121" s="10" t="s">
        <v>45</v>
      </c>
      <c r="C121" s="10" t="e">
        <f>+VLOOKUP(Sorties!B121,#REF!,3,0)</f>
        <v>#REF!</v>
      </c>
      <c r="D121" s="26">
        <v>1</v>
      </c>
    </row>
    <row r="122" spans="1:4" x14ac:dyDescent="0.25">
      <c r="A122" s="22">
        <v>45635</v>
      </c>
      <c r="B122" s="10" t="s">
        <v>46</v>
      </c>
      <c r="C122" s="10" t="e">
        <f>+VLOOKUP(Sorties!B122,#REF!,3,0)</f>
        <v>#REF!</v>
      </c>
      <c r="D122" s="26">
        <v>1</v>
      </c>
    </row>
    <row r="123" spans="1:4" x14ac:dyDescent="0.25">
      <c r="A123" s="22">
        <v>45635</v>
      </c>
      <c r="B123" s="10" t="s">
        <v>47</v>
      </c>
      <c r="C123" s="10" t="e">
        <f>+VLOOKUP(Sorties!B123,#REF!,3,0)</f>
        <v>#REF!</v>
      </c>
      <c r="D123" s="26">
        <v>1</v>
      </c>
    </row>
  </sheetData>
  <phoneticPr fontId="6" type="noConversion"/>
  <pageMargins left="0.7" right="0.7" top="0.75" bottom="0.75" header="0.3" footer="0.3"/>
  <pageSetup orientation="portrait"/>
  <headerFooter>
    <oddFooter>&amp;L&amp;1#&amp;"Arial"&amp;10&amp;K000000[Internal]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0BE15-CA7C-4B70-94F9-492E40344CBE}">
  <dimension ref="A1:H25"/>
  <sheetViews>
    <sheetView tabSelected="1" workbookViewId="0">
      <selection sqref="A1:D9"/>
    </sheetView>
  </sheetViews>
  <sheetFormatPr baseColWidth="10" defaultColWidth="11.42578125" defaultRowHeight="15" x14ac:dyDescent="0.25"/>
  <cols>
    <col min="1" max="2" width="29.42578125" customWidth="1"/>
    <col min="3" max="3" width="48.85546875" bestFit="1" customWidth="1"/>
    <col min="4" max="4" width="33.85546875" customWidth="1"/>
  </cols>
  <sheetData>
    <row r="1" spans="1:8" ht="23.25" x14ac:dyDescent="0.35">
      <c r="A1" s="29" t="s">
        <v>89</v>
      </c>
      <c r="B1" s="29" t="s">
        <v>90</v>
      </c>
      <c r="C1" s="29" t="s">
        <v>91</v>
      </c>
      <c r="D1" s="29" t="s">
        <v>92</v>
      </c>
    </row>
    <row r="2" spans="1:8" x14ac:dyDescent="0.25">
      <c r="A2" s="52" t="s">
        <v>81</v>
      </c>
      <c r="B2" s="52">
        <v>1</v>
      </c>
      <c r="C2" s="30" t="s">
        <v>82</v>
      </c>
      <c r="D2" s="1">
        <v>2</v>
      </c>
    </row>
    <row r="3" spans="1:8" x14ac:dyDescent="0.25">
      <c r="A3" s="52"/>
      <c r="B3" s="52"/>
      <c r="C3" s="31" t="s">
        <v>83</v>
      </c>
      <c r="D3" s="1">
        <v>2</v>
      </c>
    </row>
    <row r="4" spans="1:8" x14ac:dyDescent="0.25">
      <c r="A4" s="52"/>
      <c r="B4" s="52"/>
      <c r="C4" s="32" t="s">
        <v>84</v>
      </c>
      <c r="D4" s="1">
        <v>2</v>
      </c>
    </row>
    <row r="5" spans="1:8" x14ac:dyDescent="0.25">
      <c r="A5" s="52"/>
      <c r="B5" s="52"/>
      <c r="C5" s="33" t="s">
        <v>85</v>
      </c>
      <c r="D5" s="1">
        <v>2</v>
      </c>
    </row>
    <row r="6" spans="1:8" x14ac:dyDescent="0.25">
      <c r="A6" s="52" t="s">
        <v>86</v>
      </c>
      <c r="B6" s="52">
        <v>19</v>
      </c>
      <c r="C6" s="30" t="s">
        <v>82</v>
      </c>
      <c r="D6" s="1">
        <v>5</v>
      </c>
    </row>
    <row r="7" spans="1:8" x14ac:dyDescent="0.25">
      <c r="A7" s="52"/>
      <c r="B7" s="52"/>
      <c r="C7" s="31" t="s">
        <v>83</v>
      </c>
      <c r="D7" s="1">
        <v>1</v>
      </c>
    </row>
    <row r="8" spans="1:8" x14ac:dyDescent="0.25">
      <c r="A8" s="52"/>
      <c r="B8" s="52"/>
      <c r="C8" s="32" t="s">
        <v>84</v>
      </c>
      <c r="D8" s="1">
        <v>9</v>
      </c>
    </row>
    <row r="9" spans="1:8" x14ac:dyDescent="0.25">
      <c r="A9" s="52"/>
      <c r="B9" s="52"/>
      <c r="C9" s="33" t="s">
        <v>85</v>
      </c>
      <c r="D9" s="1">
        <v>5</v>
      </c>
    </row>
    <row r="10" spans="1:8" x14ac:dyDescent="0.25">
      <c r="A10" s="52" t="s">
        <v>93</v>
      </c>
      <c r="B10" s="52">
        <v>1</v>
      </c>
      <c r="C10" s="30" t="s">
        <v>82</v>
      </c>
      <c r="D10" s="1">
        <v>1</v>
      </c>
    </row>
    <row r="11" spans="1:8" x14ac:dyDescent="0.25">
      <c r="A11" s="52"/>
      <c r="B11" s="52"/>
      <c r="C11" s="31" t="s">
        <v>83</v>
      </c>
      <c r="D11" s="1">
        <v>4</v>
      </c>
    </row>
    <row r="12" spans="1:8" x14ac:dyDescent="0.25">
      <c r="A12" s="52"/>
      <c r="B12" s="52"/>
      <c r="C12" s="32" t="s">
        <v>84</v>
      </c>
      <c r="D12" s="1">
        <v>2</v>
      </c>
      <c r="H12" s="20"/>
    </row>
    <row r="13" spans="1:8" x14ac:dyDescent="0.25">
      <c r="A13" s="52"/>
      <c r="B13" s="52"/>
      <c r="C13" s="33" t="s">
        <v>85</v>
      </c>
      <c r="D13" s="1">
        <v>0</v>
      </c>
    </row>
    <row r="14" spans="1:8" x14ac:dyDescent="0.25">
      <c r="A14" s="52" t="s">
        <v>87</v>
      </c>
      <c r="B14" s="52">
        <v>1</v>
      </c>
      <c r="C14" s="30" t="s">
        <v>82</v>
      </c>
      <c r="D14" s="1">
        <v>2</v>
      </c>
    </row>
    <row r="15" spans="1:8" x14ac:dyDescent="0.25">
      <c r="A15" s="52"/>
      <c r="B15" s="52"/>
      <c r="C15" s="31" t="s">
        <v>83</v>
      </c>
      <c r="D15" s="1">
        <v>0</v>
      </c>
    </row>
    <row r="16" spans="1:8" x14ac:dyDescent="0.25">
      <c r="A16" s="52"/>
      <c r="B16" s="52"/>
      <c r="C16" s="32" t="s">
        <v>84</v>
      </c>
      <c r="D16" s="1">
        <v>0</v>
      </c>
    </row>
    <row r="17" spans="1:4" x14ac:dyDescent="0.25">
      <c r="A17" s="52"/>
      <c r="B17" s="52"/>
      <c r="C17" s="33" t="s">
        <v>85</v>
      </c>
      <c r="D17" s="1">
        <v>0</v>
      </c>
    </row>
    <row r="18" spans="1:4" x14ac:dyDescent="0.25">
      <c r="A18" s="52" t="s">
        <v>88</v>
      </c>
      <c r="B18" s="52">
        <v>5</v>
      </c>
      <c r="C18" s="30" t="s">
        <v>82</v>
      </c>
      <c r="D18" s="1">
        <v>1</v>
      </c>
    </row>
    <row r="19" spans="1:4" x14ac:dyDescent="0.25">
      <c r="A19" s="52"/>
      <c r="B19" s="52"/>
      <c r="C19" s="31" t="s">
        <v>83</v>
      </c>
      <c r="D19" s="1">
        <v>2</v>
      </c>
    </row>
    <row r="20" spans="1:4" x14ac:dyDescent="0.25">
      <c r="A20" s="52"/>
      <c r="B20" s="52"/>
      <c r="C20" s="32" t="s">
        <v>84</v>
      </c>
      <c r="D20" s="1">
        <v>4</v>
      </c>
    </row>
    <row r="21" spans="1:4" x14ac:dyDescent="0.25">
      <c r="A21" s="52"/>
      <c r="B21" s="52"/>
      <c r="C21" s="33" t="s">
        <v>85</v>
      </c>
      <c r="D21" s="1">
        <v>4</v>
      </c>
    </row>
    <row r="22" spans="1:4" x14ac:dyDescent="0.25">
      <c r="A22" s="49" t="s">
        <v>100</v>
      </c>
      <c r="B22" s="49">
        <v>1</v>
      </c>
      <c r="C22" s="30" t="s">
        <v>82</v>
      </c>
      <c r="D22" s="1">
        <v>1</v>
      </c>
    </row>
    <row r="23" spans="1:4" x14ac:dyDescent="0.25">
      <c r="A23" s="50"/>
      <c r="B23" s="50"/>
      <c r="C23" s="31" t="s">
        <v>83</v>
      </c>
      <c r="D23" s="1">
        <v>1</v>
      </c>
    </row>
    <row r="24" spans="1:4" x14ac:dyDescent="0.25">
      <c r="A24" s="50"/>
      <c r="B24" s="50"/>
      <c r="C24" s="32" t="s">
        <v>84</v>
      </c>
      <c r="D24" s="1">
        <v>1</v>
      </c>
    </row>
    <row r="25" spans="1:4" x14ac:dyDescent="0.25">
      <c r="A25" s="51"/>
      <c r="B25" s="51"/>
      <c r="C25" s="33" t="s">
        <v>85</v>
      </c>
      <c r="D25" s="1">
        <v>1</v>
      </c>
    </row>
  </sheetData>
  <mergeCells count="12">
    <mergeCell ref="A22:A25"/>
    <mergeCell ref="B22:B25"/>
    <mergeCell ref="B18:B21"/>
    <mergeCell ref="A2:A5"/>
    <mergeCell ref="A6:A9"/>
    <mergeCell ref="A10:A13"/>
    <mergeCell ref="A14:A17"/>
    <mergeCell ref="A18:A21"/>
    <mergeCell ref="B2:B5"/>
    <mergeCell ref="B6:B9"/>
    <mergeCell ref="B10:B13"/>
    <mergeCell ref="B14:B17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3c1c031-4620-46ba-8d17-94284d681a00}" enabled="1" method="Privileged" siteId="{601e50db-f61c-4594-8e2e-260c58d3cfa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Incidents</vt:lpstr>
      <vt:lpstr>Entrées</vt:lpstr>
      <vt:lpstr>Sorties</vt:lpstr>
      <vt:lpstr>AS3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Aziaz, Asmae</dc:creator>
  <cp:lastModifiedBy>Mohcine, Bentaleb (External)</cp:lastModifiedBy>
  <dcterms:created xsi:type="dcterms:W3CDTF">2015-06-05T18:19:34Z</dcterms:created>
  <dcterms:modified xsi:type="dcterms:W3CDTF">2026-02-09T15:04:20Z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3c1c031-4620-46ba-8d17-94284d681a00_Enabled">
    <vt:lpwstr>true</vt:lpwstr>
  </property>
  <property fmtid="{D5CDD505-2E9C-101B-9397-08002B2CF9AE}" pid="3" name="MSIP_Label_43c1c031-4620-46ba-8d17-94284d681a00_SetDate">
    <vt:lpwstr>2023-03-13T10:51:00Z</vt:lpwstr>
  </property>
  <property fmtid="{D5CDD505-2E9C-101B-9397-08002B2CF9AE}" pid="4" name="MSIP_Label_43c1c031-4620-46ba-8d17-94284d681a00_Method">
    <vt:lpwstr>Privileged</vt:lpwstr>
  </property>
  <property fmtid="{D5CDD505-2E9C-101B-9397-08002B2CF9AE}" pid="5" name="MSIP_Label_43c1c031-4620-46ba-8d17-94284d681a00_Name">
    <vt:lpwstr>43c1c031-4620-46ba-8d17-94284d681a00</vt:lpwstr>
  </property>
  <property fmtid="{D5CDD505-2E9C-101B-9397-08002B2CF9AE}" pid="6" name="MSIP_Label_43c1c031-4620-46ba-8d17-94284d681a00_SiteId">
    <vt:lpwstr>601e50db-f61c-4594-8e2e-260c58d3cfa1</vt:lpwstr>
  </property>
  <property fmtid="{D5CDD505-2E9C-101B-9397-08002B2CF9AE}" pid="7" name="MSIP_Label_43c1c031-4620-46ba-8d17-94284d681a00_ActionId">
    <vt:lpwstr>1037231a-aa3b-445f-b5e4-4139078f152e</vt:lpwstr>
  </property>
  <property fmtid="{D5CDD505-2E9C-101B-9397-08002B2CF9AE}" pid="8" name="MSIP_Label_43c1c031-4620-46ba-8d17-94284d681a00_ContentBits">
    <vt:lpwstr>2</vt:lpwstr>
  </property>
</Properties>
</file>